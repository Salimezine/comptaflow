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F" sheetId="1" r:id="rId1"/>
    <sheet name="PASSIF" sheetId="2" r:id="rId2"/>
    <sheet name="RESULTAT" sheetId="3" r:id="rId3"/>
    <sheet name="FLUX MA" sheetId="4" r:id="rId4"/>
    <sheet name="SIG" sheetId="5" r:id="rId5"/>
    <sheet name="TAB AMT" sheetId="6" r:id="rId6"/>
    <sheet name="RESULTAT FISCAL" sheetId="7" r:id="rId7"/>
    <sheet name="BALANCE" sheetId="8" r:id="rId8"/>
    <sheet name="annexe Flux" sheetId="9" r:id="rId9"/>
    <sheet name="Feuil3" sheetId="10" r:id="rId10" state="hidden"/>
    <sheet name="Feuil2" sheetId="11" r:id="rId11" state="hidden"/>
  </sheets>
  <definedNames>
    <definedName name="_xlnm._FilterDatabase" localSheetId="10">'Feuil2'!A1:F90</definedName>
    <definedName name="_xlfn.IFERROR">#NAME?</definedName>
    <definedName name="_xlnm.Print_Area" localSheetId="0">ACTIF!$A$1:$L$47</definedName>
    <definedName name="_xlnm.Print_Area" localSheetId="3">'FLUX MA'!$A$1:$L$50</definedName>
    <definedName name="_xlnm.Print_Area" localSheetId="1">PASSIF!$B$1:$M$44</definedName>
    <definedName name="_xlnm.Print_Area" localSheetId="2">RESULTAT!$A$1:$S$45</definedName>
    <definedName name="_xlnm.Print_Area" localSheetId="4">SIG!$A$1:$K$48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3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#,##0\ &quot;DT&quot;;\-#,##0\ &quot;DT&quot;"/>
    <numFmt numFmtId="165" formatCode="#,##0\ &quot;DT&quot;;[Red]\-#,##0\ &quot;DT&quot;"/>
    <numFmt numFmtId="166" formatCode="#,##0.00\ &quot;DT&quot;;\-#,##0.00\ &quot;DT&quot;"/>
    <numFmt numFmtId="167" formatCode="#,##0.00\ &quot;DT&quot;;[Red]\-#,##0.00\ &quot;DT&quot;"/>
    <numFmt numFmtId="168" formatCode="_-* #,##0\ &quot;DT&quot;_-;\-* #,##0\ &quot;DT&quot;_-;_-* &quot;-&quot;\ &quot;DT&quot;_-;_-@_-"/>
    <numFmt numFmtId="169" formatCode="_-* #,##0.00\ &quot;DT&quot;_-;\-* #,##0.00\ &quot;DT&quot;_-;_-* &quot;-&quot;??\ &quot;DT&quot;_-;_-@_-"/>
    <numFmt numFmtId="170" formatCode="_-* #,##0\ _€_-;\-* #,##0\ _€_-;_-* &quot;-&quot;\ _€_-;_-@_-"/>
    <numFmt numFmtId="171" formatCode="_-* #,##0.00\ _€_-;\-* #,##0.00\ _€_-;_-* &quot;-&quot;??\ _€_-;_-@_-"/>
    <numFmt numFmtId="172" formatCode="&quot;$&quot;#,##0_);\(&quot;$&quot;#,##0\)"/>
    <numFmt numFmtId="173" formatCode="&quot;$&quot;#,##0_);[Red]\(&quot;$&quot;#,##0\)"/>
    <numFmt numFmtId="174" formatCode="&quot;$&quot;#,##0.00_);\(&quot;$&quot;#,##0.0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_-* #,##0\ &quot;TND&quot;_-;\-* #,##0\ &quot;TND&quot;_-;_-* &quot;-&quot;\ &quot;TND&quot;_-;_-@_-"/>
    <numFmt numFmtId="181" formatCode="_-* #,##0\ _T_N_D_-;\-* #,##0\ _T_N_D_-;_-* &quot;-&quot;\ _T_N_D_-;_-@_-"/>
    <numFmt numFmtId="182" formatCode="_-* #,##0.00\ &quot;TND&quot;_-;\-* #,##0.00\ &quot;TND&quot;_-;_-* &quot;-&quot;??\ &quot;TND&quot;_-;_-@_-"/>
    <numFmt numFmtId="183" formatCode="_-* #,##0.00\ _T_N_D_-;\-* #,##0.00\ _T_N_D_-;_-* &quot;-&quot;??\ _T_N_D_-;_-@_-"/>
    <numFmt numFmtId="184" formatCode="#,##0\ ;\(#,##0\)"/>
    <numFmt numFmtId="185" formatCode="#,##0.000\ \ ;\&lt;#,##0.000\&gt;"/>
    <numFmt numFmtId="186" formatCode="0.000"/>
    <numFmt numFmtId="187" formatCode="#,##0\ \ ;\&lt;#,##0\&gt;"/>
    <numFmt numFmtId="188" formatCode="dd\-mm\-yy"/>
    <numFmt numFmtId="189" formatCode="#,##0.000"/>
    <numFmt numFmtId="190" formatCode="&quot;Vrai&quot;;&quot;Vrai&quot;;&quot;Faux&quot;"/>
    <numFmt numFmtId="191" formatCode="&quot;Actif&quot;;&quot;Actif&quot;;&quot;Inactif&quot;"/>
    <numFmt numFmtId="192" formatCode="[$€-2]\ #,##0.00_);[Red]\([$€-2]\ #,##0.00\)"/>
    <numFmt numFmtId="193" formatCode="#,##0.0000"/>
    <numFmt numFmtId="194" formatCode="#,##0.0"/>
    <numFmt numFmtId="195" formatCode="[$-40C]dddd\ d\ mmmm\ yyyy"/>
    <numFmt numFmtId="196" formatCode="_-* #,##0.000\ \ ;\&lt;#,##0.000\&gt;;_-* &quot;-  &quot;\ ;_-@_-"/>
    <numFmt numFmtId="197" formatCode="_-* #,##0.000\ _€_-;\-* #,##0.000\ _€_-;_-* &quot;-&quot;???\ _€_-;_-@_-"/>
    <numFmt numFmtId="198" formatCode="_-* #,##0.000\ _€_-;\-* #,##0.000\ _€_-;_-* &quot;-&quot;??\ _€_-;_-@_-"/>
    <numFmt numFmtId="199" formatCode="dd/mm/yy"/>
    <numFmt numFmtId="200" formatCode="#,##0.0\ \ ;\&lt;#,##0.0\&gt;"/>
    <numFmt numFmtId="201" formatCode="#,##0.00\ \ ;\&lt;#,##0.00\&gt;"/>
    <numFmt numFmtId="202" formatCode="#,##0.0000\ \ ;\&lt;#,##0.0000\&gt;"/>
    <numFmt numFmtId="203" formatCode="0.0%"/>
    <numFmt numFmtId="204" formatCode="_-* #,##0\ _€_-;\-* #,##0\ _€_-;_-* &quot;-&quot;??\ _€_-;_-@_-"/>
    <numFmt numFmtId="205" formatCode="_-* #,##0.000\ _T_N_D_-;\-* #,##0.000\ _T_N_D_-;_-* &quot;-&quot;??\ _T_N_D_-;_-@_-"/>
    <numFmt numFmtId="206" formatCode="_-* #,##0.0\ _T_N_D_-;\-* #,##0.0\ _T_N_D_-;_-* &quot;-&quot;??\ _T_N_D_-;_-@_-"/>
    <numFmt numFmtId="207" formatCode="_-* #,##0\ _T_N_D_-;\-* #,##0\ _T_N_D_-;_-* &quot;-&quot;??\ _T_N_D_-;_-@_-"/>
    <numFmt numFmtId="208" formatCode="00000"/>
    <numFmt numFmtId="209" formatCode="#,##0.00000\ \ ;\&lt;#,##0.00000\&gt;"/>
    <numFmt numFmtId="210" formatCode="_-* #,##0.000\ _D_T_-;\-* #,##0.000\ _D_T_-;_-* &quot;-&quot;???\ _D_T_-;_-@_-"/>
    <numFmt numFmtId="211" formatCode="&quot;Yes&quot;;&quot;Yes&quot;;&quot;No&quot;"/>
    <numFmt numFmtId="212" formatCode="&quot;True&quot;;&quot;True&quot;;&quot;False&quot;"/>
    <numFmt numFmtId="213" formatCode="&quot;On&quot;;&quot;On&quot;;&quot;Off&quot;"/>
    <numFmt numFmtId="214" formatCode="_-* #,##0\ _D_T_-;\-* #,##0\ _D_T_-;_-* &quot;-&quot;\ _D_T_-;_-@_-"/>
    <numFmt numFmtId="215" formatCode="_-* #,##0.000_-;\-* #,##0.000_-;_-* &quot;-&quot;??_-;_-@_-"/>
    <numFmt numFmtId="216" formatCode="_-* #,##0.0000\ _T_N_D_-;\-* #,##0.0000\ _T_N_D_-;_-* &quot;-&quot;??\ _T_N_D_-;_-@_-"/>
    <numFmt numFmtId="217" formatCode="#,##0.000_ ;[Red]\-#,##0.0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 rightToLeft="0"/>
  </sheetViews>
  <sheetData>
    <row r="1">
      <c r="A1" t="str">
        <v>SCANFLASH</v>
      </c>
    </row>
    <row r="2">
      <c r="A2" t="str">
        <v>BILANS COMPARES ARRTES AUX 31 Décembre 2025 &amp; 31 Décembre 2024</v>
      </c>
    </row>
    <row r="3">
      <c r="A3" t="str">
        <v>(en dinars tunisiens)</v>
      </c>
    </row>
    <row r="5" ht="17.25" customHeight="1">
      <c r="A5" t="str">
        <v>ACTIFS</v>
      </c>
      <c r="D5" t="str">
        <v>Notes</v>
      </c>
      <c r="G5">
        <v>46022</v>
      </c>
      <c r="J5">
        <v>39082</v>
      </c>
      <c r="K5">
        <v>45657</v>
      </c>
    </row>
    <row r="7">
      <c r="A7" t="str">
        <v>ACTIFS NON COURANTS</v>
      </c>
    </row>
    <row r="9">
      <c r="B9" t="str">
        <v>Actifs immobilisés</v>
      </c>
    </row>
    <row r="11">
      <c r="C11" t="str">
        <v>Immobilisations incorporelles</v>
      </c>
      <c r="I11">
        <v>2545</v>
      </c>
    </row>
    <row r="12">
      <c r="C12" t="str">
        <v>Moins : amortissements</v>
      </c>
    </row>
    <row r="13">
      <c r="G13">
        <f>+G11+G12</f>
        <v>0</v>
      </c>
      <c r="K13">
        <f>+K12+K11</f>
        <v>0</v>
      </c>
    </row>
    <row r="14" ht="6.75" customHeight="1"/>
    <row r="15">
      <c r="C15" t="str">
        <v>Immobilisations corporelles</v>
      </c>
    </row>
    <row r="16">
      <c r="C16" t="str">
        <v>Moins : amortissements</v>
      </c>
    </row>
    <row r="17">
      <c r="D17" t="str">
        <v>3.1</v>
      </c>
      <c r="G17">
        <f>G15+G16</f>
        <v>0</v>
      </c>
      <c r="K17">
        <f>K15+K16</f>
        <v>0</v>
      </c>
    </row>
    <row r="19">
      <c r="C19" t="str">
        <v>Immobilisations financières</v>
      </c>
      <c r="I19">
        <v>46100</v>
      </c>
    </row>
    <row r="20">
      <c r="C20" t="str">
        <v>Moins : provisions</v>
      </c>
    </row>
    <row r="21">
      <c r="D21" t="str">
        <v>3.2</v>
      </c>
      <c r="G21">
        <f>SUM(G19:G20)</f>
        <v>0</v>
      </c>
      <c r="K21">
        <f>+K19+K20</f>
        <v>0</v>
      </c>
    </row>
    <row r="22" ht="18.75" customHeight="1"/>
    <row r="23" ht="15" customHeight="1">
      <c r="B23" t="str">
        <v>Total des actifs immobilisés</v>
      </c>
      <c r="G23">
        <f>+G13+G17+G21</f>
        <v>0</v>
      </c>
      <c r="K23">
        <f>+K13+K17+K21</f>
        <v>0</v>
      </c>
    </row>
    <row r="24" ht="12" customHeight="1"/>
    <row r="25">
      <c r="C25" t="str">
        <v>Autres actifs non courants</v>
      </c>
    </row>
    <row r="26" ht="10.5" customHeight="1"/>
    <row r="27" ht="15" customHeight="1">
      <c r="A27" t="str">
        <v>TOTAL DES ACTIFS NON COURANTS</v>
      </c>
      <c r="G27">
        <f>G23+G25</f>
        <v>0</v>
      </c>
      <c r="K27">
        <f>+K23+K25</f>
        <v>0</v>
      </c>
    </row>
    <row r="29">
      <c r="A29" t="str">
        <v>ACTIFS COURANTS</v>
      </c>
    </row>
    <row r="31">
      <c r="C31" t="str">
        <v>Stocks</v>
      </c>
      <c r="M31">
        <f>+G31-K31</f>
        <v>0</v>
      </c>
    </row>
    <row r="32">
      <c r="C32" t="str">
        <v>Moins : provisions</v>
      </c>
      <c r="M32">
        <f>+G32-K32</f>
        <v>0</v>
      </c>
    </row>
    <row r="33">
      <c r="D33" t="str">
        <v>3.3</v>
      </c>
      <c r="G33">
        <f>G31+G32</f>
        <v>0</v>
      </c>
      <c r="K33">
        <f>+SUM(K31:K32)</f>
        <v>0</v>
      </c>
      <c r="M33">
        <f>+G33-K33</f>
        <v>0</v>
      </c>
    </row>
    <row r="34">
      <c r="M34">
        <f>+G34-K34</f>
        <v>0</v>
      </c>
    </row>
    <row r="35">
      <c r="C35" t="str">
        <v>Clients et comptes rattachés</v>
      </c>
    </row>
    <row r="36">
      <c r="C36" t="str">
        <v>Moins : provisions</v>
      </c>
    </row>
    <row r="37">
      <c r="D37" t="str">
        <v>3.4</v>
      </c>
      <c r="G37">
        <f>G35+G36</f>
        <v>0</v>
      </c>
      <c r="K37">
        <f>+SUM(K35:K36)</f>
        <v>0</v>
      </c>
    </row>
    <row r="39">
      <c r="C39" t="str">
        <v>Autres actifs courants</v>
      </c>
      <c r="D39" t="str">
        <v>3.5</v>
      </c>
    </row>
    <row r="41">
      <c r="C41" t="str">
        <v>Placements et autres actifs financiers</v>
      </c>
    </row>
    <row r="43">
      <c r="C43" t="str">
        <v>Liquidités et équivalents de liquidités</v>
      </c>
      <c r="D43" t="str">
        <v>3.6</v>
      </c>
    </row>
    <row r="45" ht="15" customHeight="1">
      <c r="A45" t="str">
        <v>TOTAL DES ACTIFS COURANTS</v>
      </c>
      <c r="G45">
        <f>G33+G37+G39+G41+G43</f>
        <v>0</v>
      </c>
      <c r="K45">
        <f>+K33+K37+K39+K41+K43</f>
        <v>0</v>
      </c>
    </row>
    <row r="47" ht="15" customHeight="1">
      <c r="A47" t="str">
        <v>TOTAL DES ACTIFS</v>
      </c>
      <c r="G47">
        <f>G27+G45</f>
        <v>0</v>
      </c>
      <c r="K47">
        <f>+K27+K45</f>
        <v>0</v>
      </c>
    </row>
    <row r="49">
      <c r="G49">
        <f>+G47-PASSIF!G44</f>
        <v>0</v>
      </c>
      <c r="K49">
        <f>+K47-PASSIF!L44</f>
        <v>0</v>
      </c>
    </row>
    <row r="51">
      <c r="G51">
        <f>+G49/2</f>
        <v>0</v>
      </c>
    </row>
  </sheetData>
  <pageMargins left="0.7874015748031497" right="0.5905511811023623" top="0.984251968503937" bottom="0.984251968503937" header="0.5118110236220472" footer="0.5118110236220472"/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N62"/>
  <sheetViews>
    <sheetView workbookViewId="0" rightToLeft="0"/>
  </sheetViews>
  <sheetData>
    <row r="1">
      <c r="B1" t="str">
        <f>ACTIF!A1</f>
        <v>SCANFLASH</v>
      </c>
    </row>
    <row r="2">
      <c r="B2" t="str">
        <f>+ACTIF!A2</f>
        <v>BILANS COMPARES ARRTES AUX 31 Décembre 2025 &amp; 31 Décembre 2024</v>
      </c>
    </row>
    <row r="3">
      <c r="B3" t="str">
        <v>(en dinars tunisiens)</v>
      </c>
    </row>
    <row r="5" ht="20.1" customHeight="1">
      <c r="B5" t="str">
        <v>CAPITAUX PROPRES ET PASSIFS</v>
      </c>
      <c r="E5" t="str">
        <v>Notes</v>
      </c>
      <c r="G5">
        <f>+ACTIF!G5</f>
        <v>46022</v>
      </c>
      <c r="K5">
        <f>+ACTIF!J5</f>
        <v>39082</v>
      </c>
      <c r="L5">
        <v>45657</v>
      </c>
    </row>
    <row r="7">
      <c r="B7" t="str">
        <v>CAPITAUX PROPRES ET PASSIFS</v>
      </c>
    </row>
    <row r="9">
      <c r="C9" t="str">
        <v>Capitaux propres</v>
      </c>
    </row>
    <row r="11">
      <c r="D11" t="str">
        <v>Capital social</v>
      </c>
    </row>
    <row r="12">
      <c r="D12" t="str">
        <v>Réserves</v>
      </c>
    </row>
    <row r="13">
      <c r="D13" t="str">
        <v>Résultats reportés</v>
      </c>
    </row>
    <row r="15">
      <c r="D15" t="str">
        <v>Total capitaux propres avant résultat</v>
      </c>
      <c r="G15">
        <f>G11+G12+G13</f>
        <v>0</v>
      </c>
      <c r="L15">
        <f>SUM(L11:L13)</f>
        <v>0</v>
      </c>
    </row>
    <row r="17">
      <c r="D17" t="str">
        <v>Résultat de l'exercice</v>
      </c>
    </row>
    <row r="19" ht="15" customHeight="1">
      <c r="B19" t="str">
        <v>TOTAL CAPITAUX PROPRES</v>
      </c>
      <c r="E19" t="str">
        <v>4.1</v>
      </c>
      <c r="G19">
        <f>G15+G17</f>
        <v>0</v>
      </c>
      <c r="L19">
        <f>L17+L15</f>
        <v>0</v>
      </c>
    </row>
    <row r="22">
      <c r="B22" t="str">
        <v>PASSIFS</v>
      </c>
    </row>
    <row r="24">
      <c r="C24" t="str">
        <v>Passifs non courants</v>
      </c>
    </row>
    <row r="26" ht="12" customHeight="1">
      <c r="D26" t="str">
        <v>Emprunts</v>
      </c>
    </row>
    <row r="27" hidden="1">
      <c r="D27" t="str">
        <v>Autres passifs financiers</v>
      </c>
    </row>
    <row r="28">
      <c r="D28" t="str">
        <v>Provisions</v>
      </c>
    </row>
    <row r="30" ht="15" customHeight="1">
      <c r="C30" t="str">
        <v>Total passifs non courants</v>
      </c>
      <c r="E30" t="str">
        <v>4.2</v>
      </c>
      <c r="G30">
        <f>+G26+G28</f>
        <v>0</v>
      </c>
      <c r="L30">
        <f>L26+L28</f>
        <v>0</v>
      </c>
    </row>
    <row r="32">
      <c r="C32" t="str">
        <v>Passifs courants</v>
      </c>
    </row>
    <row r="34">
      <c r="D34" t="str">
        <v>Fournisseurs et comptes rattachés</v>
      </c>
      <c r="E34" t="str">
        <v>4.3</v>
      </c>
    </row>
    <row r="35">
      <c r="D35" t="str">
        <v>Autres passifs courants</v>
      </c>
      <c r="E35" t="str">
        <v>4.4</v>
      </c>
    </row>
    <row r="36">
      <c r="D36" t="str">
        <v>Concours bancaires et autres passifs financiers</v>
      </c>
      <c r="E36" t="str">
        <v>4.5</v>
      </c>
    </row>
    <row r="38" ht="15" customHeight="1">
      <c r="C38" t="str">
        <v>Total passifs courants</v>
      </c>
      <c r="G38">
        <f>G34+G35+G36</f>
        <v>0</v>
      </c>
      <c r="L38">
        <f>L34+L36+L35</f>
        <v>0</v>
      </c>
    </row>
    <row r="41" ht="15" customHeight="1">
      <c r="B41" t="str">
        <v>TOTAL DES PASSIFS</v>
      </c>
      <c r="G41">
        <f>G30+G38</f>
        <v>0</v>
      </c>
      <c r="L41">
        <f>+L30+L38</f>
        <v>0</v>
      </c>
    </row>
    <row r="44" ht="15" customHeight="1">
      <c r="B44" t="str">
        <v>TOTAL DES CAPITAUX PROPRES ET PASSIFS</v>
      </c>
      <c r="G44">
        <f>G19+G41</f>
        <v>0</v>
      </c>
      <c r="H44">
        <f>H19+H41</f>
        <v>0</v>
      </c>
      <c r="L44">
        <f>+L41+L19</f>
        <v>0</v>
      </c>
    </row>
    <row r="45" ht="21" customHeight="1">
      <c r="G45">
        <f>+G44-ACTIF!G47</f>
        <v>0</v>
      </c>
    </row>
  </sheetData>
  <pageMargins left="0.7874015748031497" right="0.5905511811023623" top="0.984251968503937" bottom="0.984251968503937" header="0.5118110236220472" footer="0.5118110236220472"/>
  <ignoredErrors>
    <ignoredError numberStoredAsText="1" sqref="B1:N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 rightToLeft="0"/>
  </sheetViews>
  <sheetData>
    <row r="1">
      <c r="A1" t="str">
        <v>SCANFLASH</v>
      </c>
    </row>
    <row r="2">
      <c r="A2" t="str">
        <v xml:space="preserve">      ETAT DE RESULTAT COMPARE ARRETE  AUX 31 Décembre 2025 &amp; 31 Décembre 2024</v>
      </c>
    </row>
    <row r="3">
      <c r="A3" t="str">
        <v>(en dinars tunisiens)</v>
      </c>
    </row>
    <row r="5" ht="20.1" customHeight="1">
      <c r="D5" t="str">
        <v>Notes</v>
      </c>
      <c r="G5">
        <f>+ACTIF!G5</f>
        <v>46022</v>
      </c>
      <c r="J5">
        <v>45657</v>
      </c>
      <c r="L5">
        <f>+PASSIF!K5</f>
        <v>39082</v>
      </c>
    </row>
    <row r="7">
      <c r="A7" t="str">
        <v>PRODUITS D'EXPLOITATION</v>
      </c>
    </row>
    <row r="9">
      <c r="C9" t="str">
        <v>Revenus</v>
      </c>
      <c r="D9" t="str">
        <v>5.1</v>
      </c>
    </row>
    <row r="10">
      <c r="C10" t="str">
        <v>Autres produits d'exploitation</v>
      </c>
    </row>
    <row r="11">
      <c r="C11" t="str">
        <v>Transfert de charges</v>
      </c>
    </row>
    <row r="13">
      <c r="B13" t="str">
        <v>Total des produits d'exploitation</v>
      </c>
      <c r="G13">
        <f>G9+G10+G11</f>
        <v>0</v>
      </c>
      <c r="J13">
        <f>SUM(J9:J11)</f>
        <v>0</v>
      </c>
    </row>
    <row r="15">
      <c r="A15" t="str">
        <v>CHARGES D'EXPLOITATION</v>
      </c>
    </row>
    <row r="16">
      <c r="K16" t="e">
        <f>+H13/H18</f>
        <v>#DIV/0!</v>
      </c>
      <c r="L16" t="e">
        <f>+I13/I18</f>
        <v>#DIV/0!</v>
      </c>
      <c r="M16" t="e">
        <f>+J13/J18</f>
        <v>#DIV/0!</v>
      </c>
      <c r="N16" t="e">
        <f>+K13/K18</f>
        <v>#DIV/0!</v>
      </c>
      <c r="O16" t="e">
        <f>+L13/L18</f>
        <v>#DIV/0!</v>
      </c>
      <c r="P16" t="e">
        <f>+M13/M18</f>
        <v>#DIV/0!</v>
      </c>
      <c r="Q16" t="e">
        <f>+N13/N18</f>
        <v>#DIV/0!</v>
      </c>
      <c r="R16" t="e">
        <f>+O13/O18</f>
        <v>#DIV/0!</v>
      </c>
    </row>
    <row r="18">
      <c r="C18" t="str">
        <v>Achats  consommés</v>
      </c>
      <c r="D18" t="str">
        <v>5.2</v>
      </c>
    </row>
    <row r="19">
      <c r="C19" t="str">
        <v>Charges de personnel</v>
      </c>
      <c r="D19" t="str">
        <v>5.3</v>
      </c>
    </row>
    <row r="20">
      <c r="C20" t="str">
        <v>Dotations aux amortissements et provisions</v>
      </c>
    </row>
    <row r="21">
      <c r="C21" t="str">
        <v>Autres charges d'exploitation</v>
      </c>
      <c r="D21" t="str">
        <v>5.4</v>
      </c>
    </row>
    <row r="23">
      <c r="B23" t="str">
        <v>Total des charges d'exploitation</v>
      </c>
      <c r="G23">
        <f>SUM(G18:G22)</f>
        <v>0</v>
      </c>
      <c r="J23">
        <f>SUM(J18:J22)</f>
        <v>0</v>
      </c>
    </row>
    <row r="25">
      <c r="V25">
        <v>73875</v>
      </c>
    </row>
    <row r="26" ht="15" customHeight="1">
      <c r="A26" t="str">
        <v>Résultat d'exploitation</v>
      </c>
      <c r="G26">
        <f>G13-G23</f>
        <v>0</v>
      </c>
      <c r="J26">
        <f>SUM(J13+J23)</f>
        <v>0</v>
      </c>
    </row>
    <row r="28">
      <c r="C28" t="str">
        <v>Charges financières nettes</v>
      </c>
      <c r="D28" t="str">
        <v>5.5</v>
      </c>
    </row>
    <row r="29" ht="15.75" customHeight="1">
      <c r="C29" t="str">
        <v>Produits des placements</v>
      </c>
    </row>
    <row r="30">
      <c r="C30" t="str">
        <v>Autres gains ordinaires</v>
      </c>
    </row>
    <row r="31">
      <c r="C31" t="str">
        <v>Autres pertes ordinaires</v>
      </c>
    </row>
    <row r="33" ht="15" customHeight="1">
      <c r="A33" t="str">
        <v>Résultat des activités ordinaires avant impôt</v>
      </c>
      <c r="G33">
        <f>SUM(G26:G31)</f>
        <v>0</v>
      </c>
      <c r="J33">
        <f>SUM(J26:J31)</f>
        <v>0</v>
      </c>
    </row>
    <row r="35">
      <c r="C35" t="str">
        <v>Impôt sur les bénéfices</v>
      </c>
    </row>
    <row r="37" ht="15" customHeight="1">
      <c r="A37" t="str">
        <v>Résultat des activités ordinaires après impôt</v>
      </c>
      <c r="G37">
        <f>G33+G35</f>
        <v>0</v>
      </c>
      <c r="J37">
        <f>SUM(J33:J36)</f>
        <v>0</v>
      </c>
    </row>
    <row r="39">
      <c r="C39" t="str">
        <v>Eléments extraordinaires</v>
      </c>
    </row>
    <row r="41" ht="15" customHeight="1">
      <c r="A41" t="str">
        <v>Résultat net de l'exercice</v>
      </c>
      <c r="G41">
        <f>G37-G39</f>
        <v>0</v>
      </c>
      <c r="J41">
        <f>J37+J39</f>
        <v>0</v>
      </c>
    </row>
    <row r="43">
      <c r="C43" t="str">
        <v>Effets des modifications comptables</v>
      </c>
    </row>
    <row r="45" ht="15" customHeight="1">
      <c r="A45" t="str">
        <v>Résultat après modifications comptables</v>
      </c>
      <c r="G45">
        <f>G41</f>
        <v>0</v>
      </c>
      <c r="J45">
        <f>+J41+J43</f>
        <v>0</v>
      </c>
    </row>
    <row r="46" ht="6.75" customHeight="1"/>
    <row r="47">
      <c r="G47">
        <f>+G45-BALANCE!G135</f>
        <v>-87169.94900000049</v>
      </c>
    </row>
  </sheetData>
  <mergeCells count="2">
    <mergeCell ref="A1:S1"/>
    <mergeCell ref="A3:J3"/>
  </mergeCells>
  <pageMargins left="0.7874015748031497" right="0.5905511811023623" top="0.984251968503937" bottom="0.984251968503937" header="0.5118110236220472" footer="0.5118110236220472"/>
  <ignoredErrors>
    <ignoredError numberStoredAsText="1" sqref="A1:V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65"/>
  <sheetViews>
    <sheetView workbookViewId="0" rightToLeft="0"/>
  </sheetViews>
  <sheetData>
    <row r="1">
      <c r="A1" t="str">
        <f>+ACTIF!A1</f>
        <v>SCANFLASH</v>
      </c>
    </row>
    <row r="2">
      <c r="A2" t="str">
        <v xml:space="preserve">ETAT DES FLUX DE TRESORERIE  </v>
      </c>
    </row>
    <row r="3">
      <c r="A3" t="str">
        <v>COMPARES ARRETES AUX 31 Décembre 2025 &amp; 31 Décembre 2024</v>
      </c>
    </row>
    <row r="4">
      <c r="A4" t="str">
        <v>(en dinars tunisiens)</v>
      </c>
    </row>
    <row r="6" ht="20.1" customHeight="1">
      <c r="E6" t="str">
        <v>Notes</v>
      </c>
      <c r="G6">
        <f>+ACTIF!G5</f>
        <v>46022</v>
      </c>
      <c r="H6">
        <v>45657</v>
      </c>
      <c r="K6">
        <f>+RESULTAT!L5</f>
        <v>39082</v>
      </c>
      <c r="M6" t="e">
        <f>+#REF!</f>
        <v>#REF!</v>
      </c>
    </row>
    <row r="8">
      <c r="A8" t="str">
        <v>Flux de trésorerie liés à l'exploitation</v>
      </c>
    </row>
    <row r="10">
      <c r="B10" t="str">
        <v>Résultat net</v>
      </c>
      <c r="G10">
        <f>RESULTAT!G45</f>
        <v>0</v>
      </c>
      <c r="H10">
        <v>-45908</v>
      </c>
      <c r="M10" t="e">
        <f>+#REF!</f>
        <v>#REF!</v>
      </c>
    </row>
    <row r="11">
      <c r="B11" t="str">
        <v>Ajustements pour :</v>
      </c>
    </row>
    <row r="12">
      <c r="C12" t="str">
        <v>Amortissements et provisions</v>
      </c>
      <c r="G12">
        <f>+RESULTAT!G20</f>
        <v>0</v>
      </c>
      <c r="H12">
        <v>39189</v>
      </c>
      <c r="M12" t="e">
        <f>+#REF!+#REF!</f>
        <v>#REF!</v>
      </c>
    </row>
    <row r="13">
      <c r="C13" t="str">
        <v>Variation des :</v>
      </c>
    </row>
    <row r="14">
      <c r="D14" t="str">
        <v>- Stocks</v>
      </c>
      <c r="G14">
        <f>+ACTIF!K33-ACTIF!G33</f>
        <v>0</v>
      </c>
      <c r="H14">
        <v>3138</v>
      </c>
    </row>
    <row r="15">
      <c r="D15" t="str">
        <v>- Créances</v>
      </c>
      <c r="G15">
        <f>+ACTIF!K37-ACTIF!G37</f>
        <v>0</v>
      </c>
      <c r="H15">
        <v>-12023</v>
      </c>
    </row>
    <row r="16">
      <c r="D16" t="str">
        <v>- Autres actifs</v>
      </c>
      <c r="G16">
        <f>+ACTIF!K39-ACTIF!G39</f>
        <v>0</v>
      </c>
      <c r="H16">
        <v>-2768</v>
      </c>
    </row>
    <row r="17">
      <c r="D17" t="str">
        <v>- Fournisseurs et autres dettes</v>
      </c>
      <c r="G17">
        <f>PASSIF!G34-PASSIF!L34+PASSIF!G35-PASSIF!L35-11153.939+31906.171</f>
        <v>20752.231999999996</v>
      </c>
      <c r="H17">
        <v>67178</v>
      </c>
    </row>
    <row r="18">
      <c r="C18" t="str">
        <v>Plus ou moins values de cession</v>
      </c>
    </row>
    <row r="19">
      <c r="C19" t="str">
        <v>Reprise sur provisions</v>
      </c>
    </row>
    <row r="20" ht="7.5" customHeight="1"/>
    <row r="21" ht="15" customHeight="1">
      <c r="A21" t="str">
        <v>Flux de trésorerie liés à l'exploitation</v>
      </c>
      <c r="G21">
        <f>SUM(G10:G20)</f>
        <v>20752.231999999996</v>
      </c>
      <c r="H21">
        <v>48806</v>
      </c>
      <c r="M21" t="e">
        <f>SUM(M10:M19)</f>
        <v>#REF!</v>
      </c>
    </row>
    <row r="23">
      <c r="A23" t="str">
        <v>Flux de trésorerie liés aux activités d'investissement</v>
      </c>
    </row>
    <row r="25">
      <c r="C25" t="str">
        <v>Acquisitions d'immobilisations</v>
      </c>
      <c r="G25">
        <f>+ACTIF!K11-ACTIF!G11+ACTIF!K15-ACTIF!G15</f>
        <v>0</v>
      </c>
      <c r="H25">
        <v>-325380</v>
      </c>
    </row>
    <row r="26">
      <c r="C26" t="str">
        <v>Cessions d'immobilisations</v>
      </c>
    </row>
    <row r="27">
      <c r="C27" t="str">
        <v>Prêts accordés au Personnel</v>
      </c>
      <c r="G27">
        <f>+ACTIF!K21-ACTIF!G21</f>
        <v>0</v>
      </c>
      <c r="H27">
        <v>1000</v>
      </c>
    </row>
    <row r="28">
      <c r="C28" t="str">
        <v>Cessions d'immobilisations financières</v>
      </c>
    </row>
    <row r="29" ht="9" customHeight="1"/>
    <row r="30" ht="15" customHeight="1">
      <c r="A30" t="str">
        <v>Flux de trésorerie liés aux activités d'investissement</v>
      </c>
      <c r="G30">
        <f>SUM(G24:G27)</f>
        <v>0</v>
      </c>
      <c r="H30">
        <v>-324380</v>
      </c>
      <c r="L30">
        <f>SUM(L25:L28)</f>
        <v>0</v>
      </c>
      <c r="M30">
        <f>SUM(M25:M28)</f>
        <v>0</v>
      </c>
    </row>
    <row r="32">
      <c r="A32" t="str">
        <v>Flux de trésorerie liés aux activités de financement</v>
      </c>
    </row>
    <row r="34">
      <c r="C34" t="str">
        <v>Dividendes et autres distributions</v>
      </c>
    </row>
    <row r="35">
      <c r="C35" t="str">
        <v>Variation situation nette</v>
      </c>
    </row>
    <row r="36">
      <c r="C36" t="str">
        <v>Encaissements provenant des emprunts</v>
      </c>
      <c r="G36">
        <f>+PASSIF!G26-PASSIF!L26</f>
        <v>0</v>
      </c>
      <c r="H36">
        <v>189525</v>
      </c>
    </row>
    <row r="37">
      <c r="C37" t="str">
        <v>Remboursements d'emprunts</v>
      </c>
    </row>
    <row r="38" ht="9.75" customHeight="1"/>
    <row r="39" ht="15" customHeight="1">
      <c r="A39" t="str">
        <v>Flux de trésorerie liés aux activités de financement</v>
      </c>
      <c r="G39">
        <f>SUM(G34:G37)</f>
        <v>0</v>
      </c>
      <c r="H39">
        <v>189525</v>
      </c>
      <c r="L39">
        <f>SUM(L35:L37)</f>
        <v>0</v>
      </c>
      <c r="M39">
        <f>SUM(M35:M37)</f>
        <v>0</v>
      </c>
    </row>
    <row r="40" ht="9" customHeight="1"/>
    <row r="41">
      <c r="C41" t="str">
        <v>Incidence des variations des taux de change sur les</v>
      </c>
    </row>
    <row r="42">
      <c r="C42" t="str">
        <v>liquidités et équivalents de liquidités</v>
      </c>
    </row>
    <row r="43" ht="9" customHeight="1"/>
    <row r="44" ht="15" customHeight="1">
      <c r="A44" t="str">
        <v>Variation de trésorerie</v>
      </c>
      <c r="G44">
        <f>G21+G39+G30</f>
        <v>20752.231999999996</v>
      </c>
      <c r="H44">
        <v>-86049</v>
      </c>
      <c r="L44">
        <f>+L21+L30+L39+L42</f>
        <v>0</v>
      </c>
      <c r="M44" t="e">
        <f>+M21+M30+M39+M42</f>
        <v>#REF!</v>
      </c>
    </row>
    <row r="46">
      <c r="C46" t="str">
        <v>Trésorerie au début de l'exercice</v>
      </c>
      <c r="G46">
        <f>+H47</f>
        <v>-97772.27</v>
      </c>
      <c r="H46">
        <v>-11723</v>
      </c>
    </row>
    <row r="47">
      <c r="C47" t="str">
        <v>Trésorerie à la clôture de l'exercice</v>
      </c>
      <c r="G47">
        <f>+ACTIF!G43-51536.698-41781.44</f>
        <v>-93318.138</v>
      </c>
      <c r="H47">
        <v>-97772.27</v>
      </c>
      <c r="M47" t="e">
        <f>+#REF!</f>
        <v>#REF!</v>
      </c>
    </row>
    <row r="48" ht="6.75" customHeight="1"/>
    <row r="49" ht="15" customHeight="1">
      <c r="A49" t="str">
        <v>Variation de trésorerie</v>
      </c>
      <c r="G49">
        <f>G47-G46</f>
        <v>4454.131999999998</v>
      </c>
      <c r="H49">
        <v>-86049.26999999999</v>
      </c>
      <c r="L49">
        <f>L47-L46</f>
        <v>0</v>
      </c>
      <c r="M49" t="e">
        <f>M47-M46</f>
        <v>#REF!</v>
      </c>
    </row>
    <row r="50" ht="7.5" customHeight="1"/>
    <row r="53">
      <c r="G53">
        <f>+G44-G49</f>
        <v>16298.099999999999</v>
      </c>
    </row>
    <row r="58">
      <c r="K58">
        <f>+K49-K44</f>
        <v>0</v>
      </c>
    </row>
  </sheetData>
  <mergeCells count="3">
    <mergeCell ref="A3:I3"/>
    <mergeCell ref="A2:I2"/>
    <mergeCell ref="A1:I1"/>
  </mergeCells>
  <pageMargins left="0.7874015748031497" right="0.5905511811023623" top="0.984251968503937" bottom="0.984251968503937" header="0.5118110236220472" footer="0.5118110236220472"/>
  <ignoredErrors>
    <ignoredError numberStoredAsText="1" sqref="A1:Y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9"/>
  <sheetViews>
    <sheetView workbookViewId="0" rightToLeft="0"/>
  </sheetViews>
  <sheetData>
    <row r="1">
      <c r="A1" t="str">
        <f>+'FLUX MA'!A1</f>
        <v>SCANFLASH</v>
      </c>
    </row>
    <row r="2">
      <c r="A2" t="str">
        <v>SOLDES INTERMEDIAIRES DE GESTION</v>
      </c>
    </row>
    <row r="3">
      <c r="A3" t="str">
        <v>ARRETES COMPARES AUX 31 Décembre 2025 &amp; 31 Décembre 2024</v>
      </c>
    </row>
    <row r="4">
      <c r="A4" t="str">
        <v>(en dinars tunisiens)</v>
      </c>
    </row>
    <row r="6" ht="20.1" customHeight="1">
      <c r="D6" t="str">
        <v>Notes</v>
      </c>
      <c r="F6">
        <f>+'FLUX MA'!G6</f>
        <v>46022</v>
      </c>
      <c r="I6">
        <v>39082</v>
      </c>
      <c r="J6">
        <v>45657</v>
      </c>
    </row>
    <row r="7" ht="11.25" customHeight="1"/>
    <row r="8">
      <c r="B8" t="str">
        <v>Ventes de marchandises</v>
      </c>
    </row>
    <row r="9">
      <c r="B9" t="str">
        <v>Coût d'achat des marchandises vendus</v>
      </c>
    </row>
    <row r="10" ht="9.75" customHeight="1"/>
    <row r="11" ht="15" customHeight="1">
      <c r="A11" t="str">
        <v>MARGE COMMERCIALE</v>
      </c>
      <c r="F11">
        <f>F8-F9</f>
        <v>0</v>
      </c>
      <c r="J11">
        <v>0</v>
      </c>
    </row>
    <row r="12" ht="8.25" customHeight="1"/>
    <row r="13">
      <c r="B13" t="str">
        <v xml:space="preserve">Revenus </v>
      </c>
      <c r="F13">
        <f>+RESULTAT!G13</f>
        <v>0</v>
      </c>
      <c r="J13">
        <v>1384651</v>
      </c>
    </row>
    <row r="14">
      <c r="B14" t="str">
        <v>Production stockée</v>
      </c>
    </row>
    <row r="15" ht="10.5" customHeight="1"/>
    <row r="16" ht="15" customHeight="1">
      <c r="A16" t="str">
        <v>PRODUCTION DE L'EXERCICE</v>
      </c>
      <c r="F16">
        <f>SUM(F13:F15)</f>
        <v>0</v>
      </c>
      <c r="G16">
        <f>G13+G14</f>
        <v>0</v>
      </c>
      <c r="H16">
        <f>H13+H14</f>
        <v>0</v>
      </c>
      <c r="I16">
        <f>I13+I14</f>
        <v>0</v>
      </c>
      <c r="J16">
        <v>1384651</v>
      </c>
    </row>
    <row r="18">
      <c r="B18" t="str">
        <v>Achats consommés</v>
      </c>
      <c r="F18">
        <f>-RESULTAT!G18</f>
        <v>0</v>
      </c>
      <c r="J18">
        <v>-620943</v>
      </c>
    </row>
    <row r="20" ht="15" customHeight="1">
      <c r="A20" t="str">
        <v>MARGE COMMERCIALE</v>
      </c>
      <c r="F20">
        <f>F16+F18</f>
        <v>0</v>
      </c>
      <c r="G20" t="e">
        <f>G16+#REF!+G18</f>
        <v>#REF!</v>
      </c>
      <c r="H20" t="e">
        <f>H16+#REF!+H18</f>
        <v>#REF!</v>
      </c>
      <c r="I20" t="e">
        <f>I16+#REF!+I18</f>
        <v>#REF!</v>
      </c>
      <c r="J20">
        <v>763708</v>
      </c>
    </row>
    <row r="22" ht="15" customHeight="1">
      <c r="A22" t="str">
        <v>ACTIVITE TOTALE</v>
      </c>
      <c r="F22">
        <f>F11</f>
        <v>0</v>
      </c>
      <c r="J22">
        <v>0</v>
      </c>
    </row>
    <row r="23" ht="9" customHeight="1"/>
    <row r="24">
      <c r="B24" t="str">
        <v>Marge brute totale</v>
      </c>
      <c r="F24">
        <f>+F20</f>
        <v>0</v>
      </c>
      <c r="G24" t="e">
        <f>+G20</f>
        <v>#REF!</v>
      </c>
      <c r="H24" t="e">
        <f>+H20</f>
        <v>#REF!</v>
      </c>
      <c r="I24" t="e">
        <f>+I20</f>
        <v>#REF!</v>
      </c>
      <c r="J24">
        <v>763708</v>
      </c>
    </row>
    <row r="25">
      <c r="B25" t="str">
        <v>Subvention d'éxploitation</v>
      </c>
    </row>
    <row r="26">
      <c r="B26" t="str">
        <v>Autres charges externes</v>
      </c>
      <c r="F26">
        <f>-RESULTAT!G21-F30</f>
        <v>69169.767</v>
      </c>
      <c r="G26">
        <f>-RESULTAT!H21-G30</f>
        <v>0</v>
      </c>
      <c r="H26">
        <f>-RESULTAT!I21-H30</f>
        <v>0</v>
      </c>
      <c r="I26">
        <f>-RESULTAT!J21-I30</f>
        <v>0</v>
      </c>
      <c r="J26">
        <v>-164213.407</v>
      </c>
    </row>
    <row r="27" ht="9.75" customHeight="1"/>
    <row r="28" ht="15" customHeight="1">
      <c r="A28" t="str">
        <v>VALEUR AJOUTEE BRUTE</v>
      </c>
      <c r="F28">
        <f>F24+F26</f>
        <v>69169.767</v>
      </c>
      <c r="G28" t="e">
        <f>G24+G26</f>
        <v>#REF!</v>
      </c>
      <c r="H28" t="e">
        <f>H24+H26</f>
        <v>#REF!</v>
      </c>
      <c r="I28" t="e">
        <f>I24+I26</f>
        <v>#REF!</v>
      </c>
      <c r="J28">
        <v>599494.593</v>
      </c>
    </row>
    <row r="29" ht="11.25" customHeight="1"/>
    <row r="30">
      <c r="B30" t="str">
        <v>Impôts et taxes</v>
      </c>
      <c r="F30">
        <f>-SUM(BALANCE!F103:F109)</f>
        <v>-69169.767</v>
      </c>
      <c r="J30">
        <v>-13880.593</v>
      </c>
    </row>
    <row r="31">
      <c r="B31" t="str">
        <v>Charges de personnel</v>
      </c>
      <c r="F31">
        <f>-RESULTAT!G19</f>
        <v>0</v>
      </c>
      <c r="J31">
        <v>-537392</v>
      </c>
    </row>
    <row r="32" ht="8.25" customHeight="1"/>
    <row r="33" ht="15" customHeight="1">
      <c r="A33" t="str">
        <v>EXCEDENT BRUT D'EXLOITATION</v>
      </c>
      <c r="F33">
        <f>F28+F30+F31</f>
        <v>0</v>
      </c>
      <c r="G33" t="e">
        <f>G28+G30+G31</f>
        <v>#REF!</v>
      </c>
      <c r="H33" t="e">
        <f>H28+H30+H31</f>
        <v>#REF!</v>
      </c>
      <c r="I33" t="e">
        <f>I28+I30+I31</f>
        <v>#REF!</v>
      </c>
      <c r="J33">
        <v>48222</v>
      </c>
    </row>
    <row r="34" ht="12" customHeight="1"/>
    <row r="35">
      <c r="B35" t="str">
        <v>Charges financières nettes</v>
      </c>
      <c r="F35">
        <f>RESULTAT!G28</f>
        <v>0</v>
      </c>
      <c r="J35">
        <v>-42734</v>
      </c>
    </row>
    <row r="36">
      <c r="B36" t="str">
        <v>Produits des placements</v>
      </c>
      <c r="F36">
        <f>+RESULTAT!G29</f>
        <v>0</v>
      </c>
      <c r="J36">
        <v>0</v>
      </c>
    </row>
    <row r="37">
      <c r="B37" t="str">
        <v>Autres gains ordinaires</v>
      </c>
      <c r="F37">
        <f>RESULTAT!G30</f>
        <v>0</v>
      </c>
      <c r="J37">
        <v>0</v>
      </c>
    </row>
    <row r="38">
      <c r="B38" t="str">
        <v>Autres pertes ordinaires</v>
      </c>
      <c r="F38">
        <f>RESULTAT!G31</f>
        <v>0</v>
      </c>
      <c r="J38">
        <v>-5509</v>
      </c>
    </row>
    <row r="39">
      <c r="B39" t="str">
        <v>Transfert et reprise de charges</v>
      </c>
    </row>
    <row r="40">
      <c r="B40" t="str">
        <v>Dotation aux amortissements et aux provisions</v>
      </c>
      <c r="F40">
        <f>-RESULTAT!G20</f>
        <v>0</v>
      </c>
      <c r="J40">
        <v>-42658</v>
      </c>
    </row>
    <row r="41">
      <c r="B41" t="str">
        <v>Impôt sur le résultat ordinaire</v>
      </c>
      <c r="F41">
        <f>RESULTAT!G35</f>
        <v>0</v>
      </c>
      <c r="J41">
        <v>-3229</v>
      </c>
    </row>
    <row r="42" ht="10.5" customHeight="1"/>
    <row r="43" ht="15" customHeight="1">
      <c r="A43" t="str">
        <v>RESULTAT DES ACTIVITES ORDINAIRES</v>
      </c>
      <c r="F43">
        <f>SUM(F33:F41)</f>
        <v>0</v>
      </c>
      <c r="G43" t="e">
        <f>SUM(G33:G41)</f>
        <v>#REF!</v>
      </c>
      <c r="H43" t="e">
        <f>SUM(H33:H41)</f>
        <v>#REF!</v>
      </c>
      <c r="I43" t="e">
        <f>SUM(I33:I41)</f>
        <v>#REF!</v>
      </c>
      <c r="J43">
        <v>-45908</v>
      </c>
    </row>
    <row r="45">
      <c r="B45" t="str">
        <v>Eléments extraordinaires net d'impôt</v>
      </c>
      <c r="F45">
        <f>-RESULTAT!G39</f>
        <v>0</v>
      </c>
      <c r="J45">
        <v>0</v>
      </c>
    </row>
    <row r="46">
      <c r="B46" t="str">
        <v>Effets des modifications comptables net d'impôt</v>
      </c>
    </row>
    <row r="48" ht="15" customHeight="1">
      <c r="A48" t="str">
        <v>Résultat net après modifications comptables</v>
      </c>
      <c r="F48">
        <f>SUM(F43:F46)</f>
        <v>0</v>
      </c>
      <c r="G48" t="e">
        <f>G43</f>
        <v>#REF!</v>
      </c>
      <c r="H48" t="e">
        <f>H43</f>
        <v>#REF!</v>
      </c>
      <c r="I48" t="e">
        <f>I43</f>
        <v>#REF!</v>
      </c>
      <c r="J48">
        <v>-45908</v>
      </c>
    </row>
    <row r="49" ht="6.75" customHeight="1"/>
    <row r="50">
      <c r="F50">
        <f>+RESULTAT!G45-SIG!F48</f>
        <v>0</v>
      </c>
    </row>
  </sheetData>
  <pageMargins left="0.7874015748031497" right="0.5905511811023623" top="0.984251968503937" bottom="0.984251968503937" header="0.5118110236220472" footer="0.5118110236220472"/>
  <ignoredErrors>
    <ignoredError numberStoredAsText="1" sqref="A1:K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0"/>
  <sheetViews>
    <sheetView workbookViewId="0" rightToLeft="0"/>
  </sheetViews>
  <sheetData>
    <row r="1">
      <c r="A1" t="str">
        <f>+ACTIF!A1</f>
        <v>SCANFLASH</v>
      </c>
    </row>
    <row r="2">
      <c r="A2" t="str">
        <v>TABLEAU DE VARIATION DES IMMOBILISATIONS ET DES AMORTISSEMENTS AU 31 DECEMBRE 2025</v>
      </c>
    </row>
    <row r="3">
      <c r="A3" t="str">
        <v>(En dinars tunisiens)</v>
      </c>
    </row>
    <row r="5">
      <c r="D5" t="str">
        <v>Valeurs brutes</v>
      </c>
      <c r="I5" t="str">
        <v>Amortissements</v>
      </c>
      <c r="M5" t="str">
        <v>VCN</v>
      </c>
    </row>
    <row r="6">
      <c r="D6">
        <v>45657</v>
      </c>
      <c r="E6" t="str">
        <v>Acquisitions</v>
      </c>
      <c r="F6" t="str">
        <v>Cessions</v>
      </c>
      <c r="G6" t="str">
        <v>31/12/2025</v>
      </c>
      <c r="I6">
        <f>+D6</f>
        <v>45657</v>
      </c>
      <c r="J6" t="str">
        <v>Dotation</v>
      </c>
      <c r="K6" t="str">
        <v>Régul</v>
      </c>
      <c r="L6" t="str">
        <f>+G6</f>
        <v>31/12/2025</v>
      </c>
      <c r="M6" t="str">
        <f>L6</f>
        <v>31/12/2025</v>
      </c>
    </row>
    <row r="8">
      <c r="A8" t="str">
        <v>Immobilisations incorporelles</v>
      </c>
      <c r="D8">
        <v>19440</v>
      </c>
      <c r="E8">
        <f>+E10</f>
        <v>0</v>
      </c>
      <c r="F8">
        <f>+F10</f>
        <v>0</v>
      </c>
      <c r="G8">
        <f>+G10</f>
        <v>19440</v>
      </c>
      <c r="H8">
        <f>+H10</f>
        <v>0</v>
      </c>
      <c r="I8">
        <v>19440</v>
      </c>
      <c r="J8">
        <f>+J10</f>
        <v>0</v>
      </c>
      <c r="K8">
        <f>+K10</f>
        <v>0</v>
      </c>
      <c r="L8">
        <f>+L10</f>
        <v>19440</v>
      </c>
      <c r="M8">
        <f>+M10</f>
        <v>0</v>
      </c>
    </row>
    <row r="10">
      <c r="A10" t="str">
        <v>Logiciels</v>
      </c>
      <c r="D10">
        <v>19440</v>
      </c>
      <c r="E10">
        <v>0</v>
      </c>
      <c r="F10">
        <v>0</v>
      </c>
      <c r="G10">
        <f>+D10+E10-F10</f>
        <v>19440</v>
      </c>
      <c r="I10">
        <v>19440</v>
      </c>
      <c r="J10">
        <v>0</v>
      </c>
      <c r="K10">
        <v>0</v>
      </c>
      <c r="L10">
        <f>+I10+J10-K10</f>
        <v>19440</v>
      </c>
      <c r="M10">
        <f>+G10-L10</f>
        <v>0</v>
      </c>
    </row>
    <row r="12">
      <c r="A12" t="str">
        <v>Immobilisations corporelles</v>
      </c>
      <c r="D12">
        <v>1170581</v>
      </c>
      <c r="E12">
        <f>SUM(E14:E23)</f>
        <v>33370.335</v>
      </c>
      <c r="F12">
        <f>SUM(F14:F23)</f>
        <v>0</v>
      </c>
      <c r="G12">
        <f>SUM(G14:G23)</f>
        <v>1203951.418</v>
      </c>
      <c r="I12">
        <f>SUM(I14:I23)</f>
        <v>890185.235</v>
      </c>
      <c r="J12">
        <f>SUM(J14:J23)</f>
        <v>39188.827999999994</v>
      </c>
      <c r="K12">
        <f>SUM(K14:K23)</f>
        <v>0</v>
      </c>
      <c r="L12">
        <f>SUM(L14:L23)</f>
        <v>929374.063</v>
      </c>
      <c r="M12">
        <f>G12-L12</f>
        <v>274577.3550000001</v>
      </c>
    </row>
    <row r="14">
      <c r="A14" t="str">
        <v>Matériel Informatique</v>
      </c>
      <c r="D14">
        <v>112292.728</v>
      </c>
      <c r="E14">
        <v>201.935</v>
      </c>
      <c r="F14">
        <v>0</v>
      </c>
      <c r="G14">
        <f>+D14+E14-F14</f>
        <v>112494.663</v>
      </c>
      <c r="I14">
        <v>106006.615</v>
      </c>
      <c r="J14">
        <v>630.234</v>
      </c>
      <c r="K14">
        <v>0</v>
      </c>
      <c r="L14">
        <f>+I14+J14-K14</f>
        <v>106636.849</v>
      </c>
      <c r="M14">
        <f>+G14-L14</f>
        <v>5857.8139999999985</v>
      </c>
    </row>
    <row r="16">
      <c r="A16" t="str">
        <v>Equipement de bureau</v>
      </c>
      <c r="D16">
        <v>12406.507</v>
      </c>
      <c r="E16">
        <v>0</v>
      </c>
      <c r="F16">
        <v>0</v>
      </c>
      <c r="G16">
        <f>+D16+E16-F16</f>
        <v>12406.507</v>
      </c>
      <c r="I16">
        <v>4439.5</v>
      </c>
      <c r="J16">
        <v>300.89</v>
      </c>
      <c r="K16">
        <v>0</v>
      </c>
      <c r="L16">
        <f>+I16+J16-K16</f>
        <v>4740.39</v>
      </c>
      <c r="M16">
        <f>+G16-L16</f>
        <v>7666.116999999999</v>
      </c>
    </row>
    <row r="18">
      <c r="A18" t="str">
        <v>Instalations générales</v>
      </c>
      <c r="D18">
        <v>402075.848</v>
      </c>
      <c r="E18">
        <v>14400</v>
      </c>
      <c r="F18">
        <v>0</v>
      </c>
      <c r="G18">
        <f>+D18+E18-F18</f>
        <v>416475.848</v>
      </c>
      <c r="I18">
        <v>183251.12</v>
      </c>
      <c r="J18">
        <v>19073</v>
      </c>
      <c r="K18">
        <v>0</v>
      </c>
      <c r="L18">
        <f>+I18+J18-K18</f>
        <v>202324.12</v>
      </c>
      <c r="M18">
        <f>+G18-L18</f>
        <v>214151.728</v>
      </c>
    </row>
    <row r="20">
      <c r="A20" t="str">
        <v>Matériel industriel</v>
      </c>
      <c r="D20">
        <v>527877</v>
      </c>
      <c r="E20">
        <v>18768.4</v>
      </c>
      <c r="F20">
        <v>0</v>
      </c>
      <c r="G20">
        <f>+D20+E20-F20</f>
        <v>546645.4</v>
      </c>
      <c r="I20">
        <v>481730</v>
      </c>
      <c r="J20">
        <v>17772</v>
      </c>
      <c r="K20">
        <v>0</v>
      </c>
      <c r="L20">
        <f>+I20+J20-K20</f>
        <v>499502</v>
      </c>
      <c r="M20">
        <f>+G20-L20</f>
        <v>47143.40000000002</v>
      </c>
    </row>
    <row r="22">
      <c r="A22" t="str">
        <v>Matériel de transport</v>
      </c>
      <c r="D22">
        <v>115929</v>
      </c>
      <c r="E22">
        <v>0</v>
      </c>
      <c r="F22">
        <v>0</v>
      </c>
      <c r="G22">
        <f>+D22+E22-F22</f>
        <v>115929</v>
      </c>
      <c r="I22">
        <v>114758</v>
      </c>
      <c r="J22">
        <v>1412.704</v>
      </c>
      <c r="K22">
        <v>0</v>
      </c>
      <c r="L22">
        <f>+I22+J22-K22</f>
        <v>116170.704</v>
      </c>
      <c r="M22">
        <f>+G22-L22</f>
        <v>-241.7039999999979</v>
      </c>
    </row>
    <row r="25">
      <c r="D25">
        <v>1190021</v>
      </c>
      <c r="E25">
        <f>+E8+E12</f>
        <v>33370.335</v>
      </c>
      <c r="F25">
        <f>+F8+F12</f>
        <v>0</v>
      </c>
      <c r="G25">
        <f>+G8+G12</f>
        <v>1223391.418</v>
      </c>
      <c r="I25">
        <f>+I12+I8</f>
        <v>909625.235</v>
      </c>
      <c r="J25">
        <f>+J8+J12</f>
        <v>39188.827999999994</v>
      </c>
      <c r="L25">
        <f>+L8+L12</f>
        <v>948814.063</v>
      </c>
      <c r="M25">
        <f>+M8+M12</f>
        <v>274577.3550000001</v>
      </c>
    </row>
    <row r="29">
      <c r="L29">
        <f>+L25-I25</f>
        <v>39188.82799999998</v>
      </c>
    </row>
  </sheetData>
  <mergeCells count="5">
    <mergeCell ref="A1:M1"/>
    <mergeCell ref="A2:M2"/>
    <mergeCell ref="A3:M3"/>
    <mergeCell ref="D5:G5"/>
    <mergeCell ref="I5:L5"/>
  </mergeCells>
  <pageMargins left="0.4724409448818898" right="0.31496062992125984" top="0.7480314960629921" bottom="0.7480314960629921" header="0.31496062992125984" footer="0.31496062992125984"/>
  <ignoredErrors>
    <ignoredError numberStoredAsText="1" sqref="A1:N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17"/>
  <sheetViews>
    <sheetView workbookViewId="0" rightToLeft="0"/>
  </sheetViews>
  <sheetData>
    <row r="1">
      <c r="C1" t="str">
        <f>+ACTIF!A1</f>
        <v>SCANFLASH</v>
      </c>
    </row>
    <row r="3">
      <c r="A3" t="str">
        <v>TABLEAU DE DÉTERMINATION DU RÉSULTAT FISCAL 2025</v>
      </c>
    </row>
    <row r="8">
      <c r="B8" t="str">
        <v xml:space="preserve">Résultat comptable </v>
      </c>
      <c r="F8">
        <v>87169.94900000049</v>
      </c>
    </row>
    <row r="10">
      <c r="B10" t="str">
        <v>Réintégrations:</v>
      </c>
      <c r="F10">
        <f>SUM(F12:F22)</f>
        <v>15184.148000000001</v>
      </c>
    </row>
    <row r="12">
      <c r="C12" t="str">
        <v>Impôts sur le résultat</v>
      </c>
      <c r="F12">
        <v>12019.119</v>
      </c>
    </row>
    <row r="13">
      <c r="C13" t="str">
        <v xml:space="preserve">Css </v>
      </c>
      <c r="F13">
        <v>1802.868</v>
      </c>
    </row>
    <row r="14">
      <c r="C14" t="str">
        <v>Pénalités de retard</v>
      </c>
      <c r="F14">
        <v>1362.161</v>
      </c>
    </row>
    <row r="15">
      <c r="C15" t="str">
        <v>Dotations aux provision sur indemnités de mise à la retraite</v>
      </c>
      <c r="F15">
        <v>0</v>
      </c>
    </row>
    <row r="16">
      <c r="C16" t="str">
        <v>Charges non déductibles</v>
      </c>
    </row>
    <row r="17">
      <c r="C17" t="str">
        <v>pertes exceptionnelles</v>
      </c>
    </row>
    <row r="18">
      <c r="C18" t="str">
        <v>factures non en bonne et due forme</v>
      </c>
    </row>
    <row r="19">
      <c r="C19" t="str">
        <v>Dotations aux provisions pour congés payés</v>
      </c>
      <c r="F19">
        <v>0</v>
      </c>
    </row>
    <row r="20">
      <c r="C20" t="str">
        <v>Dotations aux provisions pour risques</v>
      </c>
      <c r="F20">
        <v>0</v>
      </c>
    </row>
    <row r="21">
      <c r="C21" t="str">
        <v>Reprise gain de change sur réévaluation</v>
      </c>
      <c r="F21">
        <v>0</v>
      </c>
    </row>
    <row r="22">
      <c r="C22" t="str">
        <v xml:space="preserve">Pertes de change sur réévaluations </v>
      </c>
      <c r="F22">
        <v>0</v>
      </c>
    </row>
    <row r="23">
      <c r="F23">
        <v>0</v>
      </c>
    </row>
    <row r="24">
      <c r="B24" t="str">
        <v>Déductions:</v>
      </c>
    </row>
    <row r="25">
      <c r="C25" t="str">
        <v>Reprise de la perte de change sur réévaluation</v>
      </c>
      <c r="F25">
        <v>0</v>
      </c>
    </row>
    <row r="26">
      <c r="C26" t="str">
        <v xml:space="preserve">Gain de change sur réévaluation </v>
      </c>
      <c r="F26">
        <v>0</v>
      </c>
    </row>
    <row r="27">
      <c r="C27" t="str">
        <v xml:space="preserve">Reprise sur provision  pour dépréciation des créances client </v>
      </c>
    </row>
    <row r="29">
      <c r="B29" t="str">
        <v>Autres Déductions:</v>
      </c>
      <c r="F29">
        <f>SUM(F30:F32)</f>
        <v>-42258.56500000025</v>
      </c>
    </row>
    <row r="30">
      <c r="C30" t="str">
        <v>Report reportable 2024</v>
      </c>
      <c r="F30">
        <v>-3069.56500000025</v>
      </c>
    </row>
    <row r="31">
      <c r="C31" t="str">
        <v>Report d'amortissement reportable 2024</v>
      </c>
      <c r="F31">
        <v>-39189</v>
      </c>
    </row>
    <row r="33">
      <c r="B33" t="str">
        <v xml:space="preserve">Résultat fiscal </v>
      </c>
      <c r="F33">
        <f>+F8+F10+F24+F29</f>
        <v>60095.53200000024</v>
      </c>
    </row>
    <row r="34">
      <c r="B34" t="str">
        <v>Résultat fiscal arrondi</v>
      </c>
    </row>
    <row r="36">
      <c r="B36" t="str">
        <v xml:space="preserve">Impôt sur les sociétés </v>
      </c>
      <c r="F36">
        <f>+F33*20%</f>
        <v>12019.106400000048</v>
      </c>
    </row>
    <row r="37">
      <c r="B37" t="str">
        <v>Retenue à la source / clients</v>
      </c>
      <c r="F37">
        <v>-4477.913</v>
      </c>
    </row>
    <row r="38">
      <c r="B38" t="str">
        <v>Report IS 2024</v>
      </c>
      <c r="F38">
        <v>-43652.276</v>
      </c>
    </row>
    <row r="40">
      <c r="B40" t="str">
        <v>Report IS 2025</v>
      </c>
      <c r="F40">
        <f>SUM(F36:F38)</f>
        <v>-36111.08259999995</v>
      </c>
    </row>
    <row r="41">
      <c r="B41" t="str">
        <v>CSS</v>
      </c>
      <c r="F41">
        <f>+F33*3%</f>
        <v>1802.8659600000071</v>
      </c>
    </row>
    <row r="43">
      <c r="B43" t="str">
        <v>Report reportable 2024</v>
      </c>
      <c r="F43">
        <v>0</v>
      </c>
    </row>
    <row r="44">
      <c r="B44" t="str">
        <v>Report d'amortissement reportable 2024</v>
      </c>
      <c r="F44">
        <v>0</v>
      </c>
    </row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</sheetData>
  <mergeCells count="2">
    <mergeCell ref="C1:U1"/>
    <mergeCell ref="A3:F3"/>
  </mergeCells>
  <pageMargins left="0.7086614173228347" right="0.7086614173228347" top="0.7480314960629921" bottom="0.7480314960629921" header="0.31496062992125984" footer="0.31496062992125984"/>
  <ignoredErrors>
    <ignoredError numberStoredAsText="1" sqref="A1:U1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2:J135"/>
  <sheetViews>
    <sheetView workbookViewId="0" rightToLeft="0"/>
  </sheetViews>
  <sheetData>
    <row r="2">
      <c r="B2" t="str">
        <v>101100</v>
      </c>
      <c r="C2" t="str">
        <v>CAPITAL SOCIAL</v>
      </c>
      <c r="E2">
        <v>40000</v>
      </c>
      <c r="G2">
        <v>40000</v>
      </c>
    </row>
    <row r="3">
      <c r="B3" t="str">
        <v>111000</v>
      </c>
      <c r="C3" t="str">
        <v>RESERVE LEGALE</v>
      </c>
      <c r="E3">
        <v>4000</v>
      </c>
      <c r="G3">
        <v>4000</v>
      </c>
    </row>
    <row r="4">
      <c r="B4" t="str">
        <v>121000</v>
      </c>
      <c r="C4" t="str">
        <v>RESULTATS REPORTES</v>
      </c>
      <c r="D4">
        <v>73520.772</v>
      </c>
      <c r="E4">
        <v>199957.481</v>
      </c>
      <c r="G4">
        <v>126436.709</v>
      </c>
    </row>
    <row r="5">
      <c r="B5" t="str">
        <v>131000</v>
      </c>
      <c r="C5" t="str">
        <v>RESULTAT BENEFICIAIRE</v>
      </c>
      <c r="E5">
        <v>195014.648</v>
      </c>
      <c r="G5">
        <v>195014.648</v>
      </c>
    </row>
    <row r="6">
      <c r="B6" t="str">
        <v>135000</v>
      </c>
      <c r="C6" t="str">
        <v>RESULTAT DEFICITAIRE</v>
      </c>
      <c r="D6">
        <v>79169.79</v>
      </c>
      <c r="F6">
        <v>79169.79</v>
      </c>
    </row>
    <row r="7">
      <c r="B7" t="str">
        <v>161101</v>
      </c>
      <c r="C7" t="str">
        <v>CONTRAT LEASING 000467020</v>
      </c>
      <c r="D7">
        <v>51536.698</v>
      </c>
      <c r="E7">
        <v>189524.729</v>
      </c>
      <c r="G7">
        <v>137988.031</v>
      </c>
    </row>
    <row r="8">
      <c r="B8" t="str">
        <v>213000</v>
      </c>
      <c r="C8" t="str">
        <v>LOGICIELS</v>
      </c>
      <c r="D8">
        <v>19440</v>
      </c>
      <c r="F8">
        <v>19440</v>
      </c>
    </row>
    <row r="9">
      <c r="B9" t="str">
        <v>222500</v>
      </c>
      <c r="C9" t="str">
        <v>INST. GENE., AGENC. ET AMENAG.CONST</v>
      </c>
      <c r="D9">
        <v>14400</v>
      </c>
      <c r="F9">
        <v>14400</v>
      </c>
    </row>
    <row r="10">
      <c r="B10" t="str">
        <v>223400</v>
      </c>
      <c r="C10" t="str">
        <v>MATERIEL D'EXPLOITATION</v>
      </c>
      <c r="D10">
        <v>2667.4</v>
      </c>
      <c r="F10">
        <v>2667.4</v>
      </c>
    </row>
    <row r="11">
      <c r="B11" t="str">
        <v>223500</v>
      </c>
      <c r="C11" t="str">
        <v>MATERIEL  INDUSTRIEL</v>
      </c>
      <c r="D11">
        <v>543977.727</v>
      </c>
      <c r="F11">
        <v>543977.727</v>
      </c>
    </row>
    <row r="12">
      <c r="B12" t="str">
        <v>224100</v>
      </c>
      <c r="C12" t="str">
        <v>MATERIEL DE TRANSPORT DE BIENS</v>
      </c>
      <c r="D12">
        <v>2773.109</v>
      </c>
      <c r="F12">
        <v>2773.109</v>
      </c>
    </row>
    <row r="13">
      <c r="B13" t="str">
        <v>228100</v>
      </c>
      <c r="C13" t="str">
        <v>INST.GENE. AGENC. ET AMENAG. DIVERS</v>
      </c>
      <c r="D13">
        <v>402075.848</v>
      </c>
      <c r="F13">
        <v>402075.848</v>
      </c>
    </row>
    <row r="14">
      <c r="B14" t="str">
        <v>228200</v>
      </c>
      <c r="C14" t="str">
        <v>EQUIPEMENT DE BUREAU</v>
      </c>
      <c r="D14">
        <v>12406.507</v>
      </c>
      <c r="F14">
        <v>12406.507</v>
      </c>
    </row>
    <row r="15">
      <c r="B15" t="str">
        <v>228300</v>
      </c>
      <c r="C15" t="str">
        <v>MATERIEL INFORMATIQUE</v>
      </c>
      <c r="D15">
        <v>112494.663</v>
      </c>
      <c r="F15">
        <v>112494.663</v>
      </c>
    </row>
    <row r="16">
      <c r="B16" t="str">
        <v>240000</v>
      </c>
      <c r="C16" t="str">
        <v>IMMO. A STATUT JURIDIQUE PARTICT.</v>
      </c>
      <c r="D16">
        <v>113155.891</v>
      </c>
      <c r="F16">
        <v>113155.891</v>
      </c>
    </row>
    <row r="17">
      <c r="B17" t="str">
        <v>264300</v>
      </c>
      <c r="C17" t="str">
        <v>PRETS AU PERSONNEL</v>
      </c>
      <c r="D17">
        <v>9580</v>
      </c>
      <c r="E17">
        <v>4880</v>
      </c>
      <c r="F17">
        <v>4700</v>
      </c>
    </row>
    <row r="18">
      <c r="B18" t="str">
        <v>281300</v>
      </c>
      <c r="C18" t="str">
        <v>AMORTISSEMENT DES LOGICIELS</v>
      </c>
      <c r="E18">
        <v>19490</v>
      </c>
      <c r="G18">
        <v>19440</v>
      </c>
    </row>
    <row r="19">
      <c r="B19" t="str">
        <v>282350</v>
      </c>
      <c r="C19" t="str">
        <v>AMORTISSEMENT MATERIEL INDUSTRIEL</v>
      </c>
      <c r="E19">
        <v>499452.794</v>
      </c>
      <c r="G19">
        <f>499452.794+50</f>
        <v>499502.794</v>
      </c>
    </row>
    <row r="20">
      <c r="B20" t="str">
        <v>282440</v>
      </c>
      <c r="C20" t="str">
        <v>AMORTI MATERIEL TRANSPORT PERSONNES</v>
      </c>
      <c r="E20">
        <v>3014.523</v>
      </c>
      <c r="G20">
        <v>3014.523</v>
      </c>
    </row>
    <row r="21">
      <c r="B21" t="str">
        <v>282810</v>
      </c>
      <c r="C21" t="str">
        <v>AMORTIS INST GENERAL AG. AM. DIVERS</v>
      </c>
      <c r="E21">
        <v>202324.093</v>
      </c>
      <c r="G21">
        <v>202324.093</v>
      </c>
    </row>
    <row r="22">
      <c r="B22" t="str">
        <v>282820</v>
      </c>
      <c r="C22" t="str">
        <v>AMORTISSEMENT EQUIPEMENT BUREAU</v>
      </c>
      <c r="E22">
        <v>4740.39</v>
      </c>
      <c r="G22">
        <v>4740.39</v>
      </c>
    </row>
    <row r="23">
      <c r="B23" t="str">
        <v>282830</v>
      </c>
      <c r="C23" t="str">
        <v>AMORTISSEMENT MATERIEL INFORMATIQUE</v>
      </c>
      <c r="E23">
        <v>106636.849</v>
      </c>
      <c r="G23">
        <v>106636.849</v>
      </c>
    </row>
    <row r="24">
      <c r="B24" t="str">
        <v>284000</v>
      </c>
      <c r="C24" t="str">
        <v>AMORT. DES IMMO. A STAT. JUR. PART.</v>
      </c>
      <c r="E24">
        <v>113155.89</v>
      </c>
      <c r="G24">
        <v>113155.89</v>
      </c>
    </row>
    <row r="25">
      <c r="B25" t="str">
        <v>311000</v>
      </c>
      <c r="C25" t="str">
        <v>MATIERES PREMIERES</v>
      </c>
      <c r="D25">
        <v>36429.764</v>
      </c>
      <c r="F25">
        <v>36429.764</v>
      </c>
    </row>
    <row r="26">
      <c r="B26" t="str">
        <v>401000</v>
      </c>
      <c r="C26" t="str">
        <v>FOURN. ACHAT DE BIENS OU PREST SERV</v>
      </c>
      <c r="D26">
        <v>611717.819</v>
      </c>
      <c r="E26">
        <v>916895.759</v>
      </c>
      <c r="G26">
        <v>305177.94</v>
      </c>
    </row>
    <row r="27">
      <c r="B27" t="str">
        <v>403000</v>
      </c>
      <c r="C27" t="str">
        <v>FOUR D'EXPLT -EFFETS A PAYER</v>
      </c>
      <c r="D27">
        <v>512685.513</v>
      </c>
      <c r="E27">
        <v>236131.599</v>
      </c>
      <c r="F27">
        <v>276553.914</v>
      </c>
    </row>
    <row r="28">
      <c r="B28" t="str">
        <v>409001</v>
      </c>
      <c r="C28" t="str">
        <v xml:space="preserve">FRS AVANCES ET ACOMPTES </v>
      </c>
      <c r="D28">
        <v>7000</v>
      </c>
      <c r="F28">
        <v>7000</v>
      </c>
    </row>
    <row r="29">
      <c r="B29" t="str">
        <v>411000</v>
      </c>
      <c r="C29" t="str">
        <v>CLIENTS ORDINAIRES</v>
      </c>
      <c r="D29">
        <v>2377319.665</v>
      </c>
      <c r="E29">
        <v>1939381.45</v>
      </c>
      <c r="F29">
        <v>437938.215</v>
      </c>
    </row>
    <row r="30">
      <c r="B30" t="str">
        <v>413000</v>
      </c>
      <c r="C30" t="str">
        <v>CLIENTS-EFFETS A RECEVOIR</v>
      </c>
      <c r="D30">
        <v>10519.459</v>
      </c>
      <c r="E30">
        <v>23311.57</v>
      </c>
      <c r="G30">
        <v>12792.111</v>
      </c>
    </row>
    <row r="31">
      <c r="B31" t="str">
        <v>416000</v>
      </c>
      <c r="C31" t="str">
        <v>CLIENTS DOUTEUX OU LITIGIEUX</v>
      </c>
      <c r="D31">
        <v>5990.064</v>
      </c>
      <c r="F31">
        <v>5990.064</v>
      </c>
    </row>
    <row r="32" ht="15" customHeight="1">
      <c r="B32" t="str">
        <v>41910000</v>
      </c>
      <c r="C32" t="str">
        <v>Clients - avances et acomptes</v>
      </c>
      <c r="E32">
        <v>2000</v>
      </c>
      <c r="G32">
        <v>2000</v>
      </c>
    </row>
    <row r="33" ht="15.75" customHeight="1">
      <c r="B33" t="str">
        <v>421000</v>
      </c>
      <c r="C33" t="str">
        <v>PERSONNEL - AVANCES ET ACCOMPTES</v>
      </c>
      <c r="D33">
        <v>100</v>
      </c>
      <c r="E33">
        <v>100</v>
      </c>
    </row>
    <row r="34">
      <c r="B34" t="str">
        <v>425000</v>
      </c>
      <c r="C34" t="str">
        <v>PERSONNEL - REMUNERATIONS DUES</v>
      </c>
      <c r="D34">
        <v>342687.655</v>
      </c>
      <c r="E34">
        <v>342687.655</v>
      </c>
    </row>
    <row r="35">
      <c r="B35" t="str">
        <v>432100</v>
      </c>
      <c r="C35" t="str">
        <v>RETENUE A LA SOURCE SUR SALAIRES</v>
      </c>
      <c r="D35">
        <v>66815.132</v>
      </c>
      <c r="E35">
        <v>66815.132</v>
      </c>
    </row>
    <row r="36">
      <c r="B36" t="str">
        <v>432101</v>
      </c>
      <c r="C36" t="str">
        <v>CSS</v>
      </c>
      <c r="D36">
        <v>1813.815</v>
      </c>
      <c r="E36">
        <v>1813.815</v>
      </c>
    </row>
    <row r="37">
      <c r="B37" t="str">
        <v>432200</v>
      </c>
      <c r="C37" t="str">
        <v>RETENUE A LA SOURCE SUR HONORAIRES</v>
      </c>
      <c r="D37">
        <v>336.572</v>
      </c>
      <c r="E37">
        <v>336.572</v>
      </c>
    </row>
    <row r="38">
      <c r="B38" t="str">
        <v>432300</v>
      </c>
      <c r="C38" t="str">
        <v>RETENUE A LA SOURCE SUR LOYERS</v>
      </c>
      <c r="D38">
        <v>6682.576</v>
      </c>
      <c r="E38">
        <v>6682.576</v>
      </c>
    </row>
    <row r="39">
      <c r="B39" t="str">
        <v>432500</v>
      </c>
      <c r="C39" t="str">
        <v>RS/MARCHES</v>
      </c>
      <c r="D39">
        <v>1262.586</v>
      </c>
      <c r="E39">
        <v>3579.762</v>
      </c>
      <c r="G39">
        <v>2317.176</v>
      </c>
    </row>
    <row r="40">
      <c r="B40" t="str">
        <v>434100</v>
      </c>
      <c r="C40" t="str">
        <v>RETENUE A LA SOURCE/CLIENTS</v>
      </c>
      <c r="D40">
        <v>15949.043</v>
      </c>
      <c r="F40">
        <v>15949.043</v>
      </c>
    </row>
    <row r="41">
      <c r="B41" t="str">
        <v>434300</v>
      </c>
      <c r="C41" t="str">
        <v>IMPOT A LIQUIDER</v>
      </c>
      <c r="D41">
        <v>2564.818</v>
      </c>
      <c r="E41">
        <v>17453.677</v>
      </c>
      <c r="G41">
        <v>14888.859</v>
      </c>
    </row>
    <row r="42">
      <c r="B42" t="str">
        <v>434950</v>
      </c>
      <c r="C42" t="str">
        <v>REPORT IS</v>
      </c>
      <c r="D42">
        <v>35712.286</v>
      </c>
      <c r="F42">
        <v>35712.286</v>
      </c>
    </row>
    <row r="43">
      <c r="B43" t="str">
        <v>436510</v>
      </c>
      <c r="C43" t="str">
        <v>TVA A PAYER</v>
      </c>
      <c r="D43">
        <v>60448.08</v>
      </c>
      <c r="E43">
        <v>60448.08</v>
      </c>
    </row>
    <row r="44">
      <c r="B44" t="str">
        <v>436619</v>
      </c>
      <c r="C44" t="str">
        <v>TVA DED 19%</v>
      </c>
      <c r="D44">
        <v>108028.601</v>
      </c>
      <c r="E44">
        <v>94091.561</v>
      </c>
      <c r="F44">
        <v>13937.04</v>
      </c>
    </row>
    <row r="45">
      <c r="B45" t="str">
        <v>436660</v>
      </c>
      <c r="C45" t="str">
        <v>TVA DEDUCTIBLE</v>
      </c>
      <c r="D45">
        <v>344.126</v>
      </c>
      <c r="F45">
        <v>344.126</v>
      </c>
    </row>
    <row r="46">
      <c r="B46" t="str">
        <v>436670</v>
      </c>
      <c r="C46" t="str">
        <v>CREDIT DE TVA A REPORTER</v>
      </c>
      <c r="D46">
        <v>6950.625</v>
      </c>
      <c r="E46">
        <v>6950.625</v>
      </c>
    </row>
    <row r="47">
      <c r="B47" t="str">
        <v>436719</v>
      </c>
      <c r="C47" t="str">
        <v>TVA COLLECTEE 19%</v>
      </c>
      <c r="D47">
        <v>155843.451</v>
      </c>
      <c r="E47">
        <v>210714.352</v>
      </c>
      <c r="G47">
        <v>54870.901</v>
      </c>
    </row>
    <row r="48">
      <c r="B48" t="str">
        <v>436780</v>
      </c>
      <c r="C48" t="str">
        <v>FODEC</v>
      </c>
      <c r="D48">
        <v>8734.053</v>
      </c>
      <c r="E48">
        <v>10981.512</v>
      </c>
      <c r="G48">
        <v>2247.459</v>
      </c>
    </row>
    <row r="49">
      <c r="B49" t="str">
        <v>437200</v>
      </c>
      <c r="C49" t="str">
        <v>FOPROLOS</v>
      </c>
      <c r="D49">
        <v>4524.2</v>
      </c>
      <c r="E49">
        <v>3638.556</v>
      </c>
      <c r="F49">
        <v>885.644</v>
      </c>
    </row>
    <row r="50">
      <c r="B50" t="str">
        <v>437300</v>
      </c>
      <c r="C50" t="str">
        <v>TFP</v>
      </c>
      <c r="D50">
        <v>4524.2</v>
      </c>
      <c r="E50">
        <v>3638.556</v>
      </c>
      <c r="F50">
        <v>885.644</v>
      </c>
    </row>
    <row r="51">
      <c r="B51" t="str">
        <v>437400</v>
      </c>
      <c r="C51" t="str">
        <v>TCL</v>
      </c>
      <c r="D51">
        <v>2138.15</v>
      </c>
      <c r="E51">
        <v>2047.315</v>
      </c>
      <c r="F51">
        <v>90.835</v>
      </c>
    </row>
    <row r="52">
      <c r="B52" t="str">
        <v>437401</v>
      </c>
      <c r="C52" t="str">
        <v>TCL/CA EXONORE</v>
      </c>
      <c r="D52">
        <v>56.714</v>
      </c>
      <c r="E52">
        <v>56.714</v>
      </c>
    </row>
    <row r="53">
      <c r="B53" t="str">
        <v>437600</v>
      </c>
      <c r="C53" t="str">
        <v>TIMBFRE FISCALE DE 1000 MILLIMES</v>
      </c>
      <c r="D53">
        <v>1403</v>
      </c>
      <c r="E53">
        <v>1404</v>
      </c>
      <c r="G53">
        <v>1</v>
      </c>
    </row>
    <row r="54">
      <c r="B54" t="str">
        <v>442100</v>
      </c>
      <c r="C54" t="str">
        <v>ASSOCIES COMPTE COURANT</v>
      </c>
      <c r="D54">
        <v>2568.161</v>
      </c>
      <c r="E54">
        <v>8767.38</v>
      </c>
      <c r="G54">
        <v>6199.219</v>
      </c>
    </row>
    <row r="55">
      <c r="B55" t="str">
        <v>453100</v>
      </c>
      <c r="C55" t="str">
        <v>CNSS</v>
      </c>
      <c r="D55">
        <v>66276.093</v>
      </c>
      <c r="E55">
        <v>126868.97</v>
      </c>
      <c r="G55">
        <v>60592.877</v>
      </c>
    </row>
    <row r="56">
      <c r="B56" t="str">
        <v>453101</v>
      </c>
      <c r="C56" t="str">
        <v>CNSS GERANT</v>
      </c>
      <c r="D56">
        <v>3941.514</v>
      </c>
      <c r="E56">
        <v>1251.35</v>
      </c>
      <c r="F56">
        <v>2690.164</v>
      </c>
    </row>
    <row r="57">
      <c r="B57" t="str">
        <v>453110</v>
      </c>
      <c r="C57" t="str">
        <v>PRET CNSS</v>
      </c>
      <c r="D57">
        <v>39333.046</v>
      </c>
      <c r="F57">
        <v>39333.046</v>
      </c>
    </row>
    <row r="58">
      <c r="B58" t="str">
        <v>454000</v>
      </c>
      <c r="C58" t="str">
        <v xml:space="preserve">TICKETS RESTAURANTS </v>
      </c>
      <c r="D58">
        <v>2495</v>
      </c>
      <c r="E58">
        <v>4245</v>
      </c>
      <c r="G58">
        <v>1750</v>
      </c>
    </row>
    <row r="59">
      <c r="B59" t="str">
        <v>457000</v>
      </c>
      <c r="C59" t="str">
        <v>AUTRES COMPTES CREDIT. OU DEBIT.</v>
      </c>
      <c r="D59">
        <v>10319.915</v>
      </c>
      <c r="E59">
        <v>36937.697</v>
      </c>
      <c r="G59">
        <v>26617.782</v>
      </c>
    </row>
    <row r="60">
      <c r="B60" t="str">
        <v>457100</v>
      </c>
      <c r="C60" t="str">
        <v>RF IMPOTS ET TAXES A PAYER</v>
      </c>
      <c r="D60">
        <v>169604.19</v>
      </c>
      <c r="E60">
        <v>193887.43</v>
      </c>
      <c r="G60">
        <v>24283.24</v>
      </c>
    </row>
    <row r="61">
      <c r="B61" t="str">
        <v>458600</v>
      </c>
      <c r="C61" t="str">
        <v>CHARGES A PAYER</v>
      </c>
      <c r="E61">
        <v>7000</v>
      </c>
      <c r="G61">
        <v>7000</v>
      </c>
    </row>
    <row r="62">
      <c r="B62" t="str">
        <v>461000</v>
      </c>
      <c r="C62" t="str">
        <v>COMPTE D'ATTENTE</v>
      </c>
      <c r="D62">
        <v>1213.738</v>
      </c>
      <c r="E62">
        <v>11846.877</v>
      </c>
      <c r="G62">
        <v>10633.139</v>
      </c>
    </row>
    <row r="63">
      <c r="B63" t="str">
        <v>461001</v>
      </c>
      <c r="C63" t="str">
        <v>COMPTE D'ATTENTE VERS ESP CLINENT</v>
      </c>
      <c r="E63">
        <v>19743</v>
      </c>
      <c r="G63">
        <v>19743</v>
      </c>
    </row>
    <row r="64">
      <c r="B64" t="str">
        <v>491000</v>
      </c>
      <c r="C64" t="str">
        <v>PROV. DEPREC. COMPTES CLIENTS</v>
      </c>
      <c r="E64">
        <v>5990.064</v>
      </c>
      <c r="G64">
        <v>5990.064</v>
      </c>
    </row>
    <row r="65">
      <c r="B65" t="str">
        <v>505009</v>
      </c>
      <c r="C65" t="str">
        <v>ECH- AN AT LEAS 467020</v>
      </c>
      <c r="D65">
        <v>43898.11</v>
      </c>
      <c r="E65">
        <v>95434.808</v>
      </c>
      <c r="G65">
        <v>51536.698</v>
      </c>
    </row>
    <row r="66">
      <c r="B66" t="str">
        <v>532400</v>
      </c>
      <c r="C66" t="str">
        <v>BIAT TND 571 3</v>
      </c>
      <c r="D66">
        <v>1528742.573</v>
      </c>
      <c r="E66">
        <v>1570524.013</v>
      </c>
      <c r="G66">
        <v>41781.44</v>
      </c>
    </row>
    <row r="67">
      <c r="B67" t="str">
        <v>532500</v>
      </c>
      <c r="C67" t="str">
        <v>BIAT 847 6</v>
      </c>
      <c r="D67">
        <v>10000</v>
      </c>
      <c r="F67">
        <v>10000</v>
      </c>
    </row>
    <row r="68">
      <c r="B68" t="str">
        <v>532600</v>
      </c>
      <c r="C68" t="str">
        <v>BIAT 859 0</v>
      </c>
      <c r="D68">
        <v>10000</v>
      </c>
      <c r="F68">
        <v>10000</v>
      </c>
    </row>
    <row r="69">
      <c r="B69" t="str">
        <v>541100</v>
      </c>
      <c r="C69" t="str">
        <v>CAISSE EN DINARS</v>
      </c>
      <c r="D69">
        <v>58553.408</v>
      </c>
      <c r="E69">
        <v>69707.347</v>
      </c>
      <c r="G69">
        <v>11153.939</v>
      </c>
    </row>
    <row r="70">
      <c r="B70" t="str">
        <v>601010</v>
      </c>
      <c r="C70" t="str">
        <v>ACHATS QUINCAILLERIE</v>
      </c>
      <c r="D70">
        <v>2115.804</v>
      </c>
      <c r="F70">
        <v>2115.804</v>
      </c>
    </row>
    <row r="71">
      <c r="B71" t="str">
        <v>602100</v>
      </c>
      <c r="C71" t="str">
        <v>MATIERES CONSOMMABLES</v>
      </c>
      <c r="D71">
        <v>90142.951</v>
      </c>
      <c r="F71">
        <v>90142.951</v>
      </c>
    </row>
    <row r="72">
      <c r="B72" t="str">
        <v>602200</v>
      </c>
      <c r="C72" t="str">
        <v>FOURNITURES CONSOMMABLES</v>
      </c>
      <c r="D72">
        <v>273750.099</v>
      </c>
      <c r="F72">
        <v>273750.099</v>
      </c>
    </row>
    <row r="73">
      <c r="B73" t="str">
        <v>602400</v>
      </c>
      <c r="C73" t="str">
        <v>FOURNITURE DE BUREAU</v>
      </c>
      <c r="D73">
        <v>8195.598</v>
      </c>
      <c r="F73">
        <v>8195.598</v>
      </c>
    </row>
    <row r="74">
      <c r="B74" t="str">
        <v>605000</v>
      </c>
      <c r="C74" t="str">
        <v>ACHAT MATERIEL, EQUIP. ET TRAVAUX</v>
      </c>
      <c r="D74">
        <v>3203.978</v>
      </c>
      <c r="F74">
        <v>3203.978</v>
      </c>
    </row>
    <row r="75">
      <c r="B75" t="str">
        <v>606001</v>
      </c>
      <c r="C75" t="str">
        <v>ACHAT N.STOCKES MAT. &amp; FOURN GASOIL</v>
      </c>
      <c r="D75">
        <v>7745.022</v>
      </c>
      <c r="F75">
        <v>7745.022</v>
      </c>
    </row>
    <row r="76">
      <c r="B76" t="str">
        <v>606005</v>
      </c>
      <c r="C76" t="str">
        <v>ACHAT DIVERS</v>
      </c>
      <c r="D76">
        <v>6452.817</v>
      </c>
      <c r="F76">
        <v>6452.817</v>
      </c>
    </row>
    <row r="77">
      <c r="B77" t="str">
        <v>606100</v>
      </c>
      <c r="C77" t="str">
        <v>EAU</v>
      </c>
      <c r="D77">
        <v>583.235</v>
      </c>
      <c r="F77">
        <v>583.235</v>
      </c>
    </row>
    <row r="78">
      <c r="B78" t="str">
        <v>60612000</v>
      </c>
      <c r="C78" t="str">
        <v>Gaz</v>
      </c>
      <c r="D78">
        <v>1082.015</v>
      </c>
      <c r="F78">
        <v>1082.015</v>
      </c>
    </row>
    <row r="79">
      <c r="B79" t="str">
        <v>606200</v>
      </c>
      <c r="C79" t="str">
        <v>ELECTRICITE</v>
      </c>
      <c r="D79">
        <v>1683.967</v>
      </c>
      <c r="F79">
        <v>1683.967</v>
      </c>
    </row>
    <row r="80">
      <c r="B80" t="str">
        <v>613000</v>
      </c>
      <c r="C80" t="str">
        <v>LOCATIONS</v>
      </c>
      <c r="D80">
        <v>56746.48</v>
      </c>
      <c r="F80">
        <v>56746.48</v>
      </c>
    </row>
    <row r="81">
      <c r="B81" t="str">
        <v>614100</v>
      </c>
      <c r="C81" t="str">
        <v>LOCATION POSITIONS</v>
      </c>
      <c r="D81">
        <v>111.32</v>
      </c>
      <c r="F81">
        <v>111.32</v>
      </c>
    </row>
    <row r="82">
      <c r="B82" t="str">
        <v>614101</v>
      </c>
      <c r="C82" t="str">
        <v>LOCATION MATERIEL</v>
      </c>
      <c r="D82">
        <v>111.32</v>
      </c>
      <c r="F82">
        <v>111.32</v>
      </c>
    </row>
    <row r="83">
      <c r="B83" t="str">
        <v>615000</v>
      </c>
      <c r="C83" t="str">
        <v>ENTRETIENS ET REPARATIONS</v>
      </c>
      <c r="D83">
        <v>7818.235</v>
      </c>
      <c r="F83">
        <v>7818.235</v>
      </c>
    </row>
    <row r="84">
      <c r="B84" t="str">
        <v>616000</v>
      </c>
      <c r="C84" t="str">
        <v>PRIMES D'ASSURANCES</v>
      </c>
      <c r="D84">
        <v>1311.009</v>
      </c>
      <c r="F84">
        <v>1311.009</v>
      </c>
    </row>
    <row r="85">
      <c r="B85" t="str">
        <v>619000</v>
      </c>
      <c r="C85" t="str">
        <v>RRR OBTENUES SUR SERVICE EXTERIEUR</v>
      </c>
      <c r="D85">
        <v>95.5</v>
      </c>
      <c r="F85">
        <v>95.5</v>
      </c>
    </row>
    <row r="86">
      <c r="B86" t="str">
        <v>622000</v>
      </c>
      <c r="C86" t="str">
        <v>REMUNERATION D'INTERM ET HONORAIRES</v>
      </c>
      <c r="D86">
        <v>9567.088</v>
      </c>
      <c r="F86">
        <v>9567.088</v>
      </c>
    </row>
    <row r="87">
      <c r="B87" t="str">
        <v>622001</v>
      </c>
      <c r="C87" t="str">
        <v>SOUS TRAITANCE</v>
      </c>
      <c r="D87">
        <v>183.2</v>
      </c>
      <c r="F87">
        <v>183.2</v>
      </c>
    </row>
    <row r="88">
      <c r="B88" t="str">
        <v>623300</v>
      </c>
      <c r="C88" t="str">
        <v>DONS</v>
      </c>
      <c r="D88">
        <v>500</v>
      </c>
      <c r="F88">
        <v>500</v>
      </c>
    </row>
    <row r="89">
      <c r="B89" t="str">
        <v>624000</v>
      </c>
      <c r="C89" t="str">
        <v>TRANSPORT BIENS ET PERSONNEL</v>
      </c>
      <c r="D89">
        <v>380</v>
      </c>
      <c r="F89">
        <v>380</v>
      </c>
    </row>
    <row r="90">
      <c r="B90" t="str">
        <v>624100</v>
      </c>
      <c r="C90" t="str">
        <v>TRANSPORTS SUR ACHATS</v>
      </c>
      <c r="D90">
        <v>40</v>
      </c>
      <c r="F90">
        <v>40</v>
      </c>
    </row>
    <row r="91">
      <c r="B91" t="str">
        <v>624800</v>
      </c>
      <c r="C91" t="str">
        <v>TRANSPORTS DIVERS</v>
      </c>
      <c r="D91">
        <v>84.193</v>
      </c>
      <c r="F91">
        <v>84.193</v>
      </c>
    </row>
    <row r="92">
      <c r="B92" t="str">
        <v>625000</v>
      </c>
      <c r="C92" t="str">
        <v>DEPLACEMENTS MISSION ET RECEPTIONS</v>
      </c>
      <c r="D92">
        <v>253</v>
      </c>
      <c r="F92">
        <v>253</v>
      </c>
    </row>
    <row r="93">
      <c r="B93" t="str">
        <v>625800</v>
      </c>
      <c r="C93" t="str">
        <v>RESTAURATION</v>
      </c>
      <c r="D93">
        <v>4200</v>
      </c>
      <c r="F93">
        <v>4200</v>
      </c>
    </row>
    <row r="94">
      <c r="B94" t="str">
        <v>62600000</v>
      </c>
      <c r="C94" t="str">
        <v>Frais postaux et télécom.</v>
      </c>
      <c r="D94">
        <v>30</v>
      </c>
      <c r="F94">
        <v>30</v>
      </c>
    </row>
    <row r="95">
      <c r="B95" t="str">
        <v>626000</v>
      </c>
      <c r="C95" t="str">
        <v>FRAIS POSTAUX ET FRAIS TELECOMMUNIC</v>
      </c>
      <c r="D95">
        <v>7404.088</v>
      </c>
      <c r="F95">
        <v>7404.088</v>
      </c>
    </row>
    <row r="96">
      <c r="B96" t="str">
        <v>627000</v>
      </c>
      <c r="C96" t="str">
        <v>FRAIS ET COMMISSIONS BANCAIRES</v>
      </c>
      <c r="D96">
        <v>10856.451</v>
      </c>
      <c r="F96">
        <v>10856.451</v>
      </c>
    </row>
    <row r="97">
      <c r="B97" t="str">
        <v>632000</v>
      </c>
      <c r="C97" t="str">
        <v>PENALITE DE RETARD</v>
      </c>
      <c r="D97">
        <v>1362.161</v>
      </c>
      <c r="F97">
        <v>1362.161</v>
      </c>
    </row>
    <row r="98">
      <c r="B98" t="str">
        <v>634500</v>
      </c>
      <c r="C98" t="str">
        <v>ECARTS DE REGLEMENT</v>
      </c>
      <c r="D98">
        <v>17.817</v>
      </c>
      <c r="E98">
        <v>0.002</v>
      </c>
      <c r="F98">
        <v>17.815</v>
      </c>
    </row>
    <row r="99">
      <c r="B99" t="str">
        <v>635200</v>
      </c>
      <c r="C99" t="str">
        <v>DIFFERENCE DE REGLEMENT</v>
      </c>
      <c r="D99">
        <v>0.001</v>
      </c>
      <c r="E99">
        <v>0.19</v>
      </c>
      <c r="G99">
        <v>0.189</v>
      </c>
    </row>
    <row r="100">
      <c r="B100" t="str">
        <v>636100</v>
      </c>
      <c r="C100" t="str">
        <v>PERTE /ELEMENTS EXCEPTIONNEL</v>
      </c>
      <c r="D100">
        <v>0.003</v>
      </c>
      <c r="F100">
        <v>0.003</v>
      </c>
    </row>
    <row r="101">
      <c r="B101" t="str">
        <v>640000</v>
      </c>
      <c r="C101" t="str">
        <v>SALAIRES</v>
      </c>
      <c r="D101">
        <v>366662.182</v>
      </c>
      <c r="F101">
        <v>366662.182</v>
      </c>
    </row>
    <row r="102">
      <c r="B102" t="str">
        <v>640001</v>
      </c>
      <c r="C102" t="str">
        <v>SALAIRE GERANT</v>
      </c>
      <c r="D102">
        <v>65722.402</v>
      </c>
      <c r="F102">
        <v>65722.402</v>
      </c>
    </row>
    <row r="103">
      <c r="B103" t="str">
        <v>640003</v>
      </c>
      <c r="C103" t="str">
        <v>SALAIRES DE STAGIAIRES</v>
      </c>
      <c r="D103">
        <v>869.9</v>
      </c>
      <c r="F103">
        <v>869.9</v>
      </c>
    </row>
    <row r="104">
      <c r="B104" t="str">
        <v>640200</v>
      </c>
      <c r="C104" t="str">
        <v xml:space="preserve">PRIME DE LAIT </v>
      </c>
      <c r="D104">
        <v>6669.225</v>
      </c>
      <c r="F104">
        <v>6669.225</v>
      </c>
    </row>
    <row r="105">
      <c r="B105" t="str">
        <v>640400</v>
      </c>
      <c r="C105" t="str">
        <v>AVANTAGES EN NATURE</v>
      </c>
      <c r="D105">
        <v>3445.475</v>
      </c>
      <c r="F105">
        <v>3445.475</v>
      </c>
    </row>
    <row r="106">
      <c r="B106" t="str">
        <v>640901</v>
      </c>
      <c r="C106" t="str">
        <v>PRIME AID</v>
      </c>
      <c r="D106">
        <v>1080</v>
      </c>
      <c r="F106">
        <v>1080</v>
      </c>
    </row>
    <row r="107">
      <c r="B107" t="str">
        <v>642100</v>
      </c>
      <c r="C107" t="str">
        <v>HEURES SUPPLEMENTAIRES</v>
      </c>
      <c r="D107">
        <v>7971.247</v>
      </c>
      <c r="F107">
        <v>7971.247</v>
      </c>
    </row>
    <row r="108">
      <c r="B108" t="str">
        <v>647000</v>
      </c>
      <c r="C108" t="str">
        <v>COTIS SECURITE SOCIALE SUR SALAIRES</v>
      </c>
      <c r="D108">
        <v>46822.423</v>
      </c>
      <c r="F108">
        <v>46822.423</v>
      </c>
    </row>
    <row r="109">
      <c r="B109" t="str">
        <v>647001</v>
      </c>
      <c r="C109" t="str">
        <v>ACCIDENT DU TRAVAIL</v>
      </c>
      <c r="D109">
        <v>2311.497</v>
      </c>
      <c r="F109">
        <v>2311.497</v>
      </c>
    </row>
    <row r="110">
      <c r="B110" t="str">
        <v>647100</v>
      </c>
      <c r="C110" t="str">
        <v>CHARGES CNSS A/T</v>
      </c>
      <c r="D110">
        <v>1323.517</v>
      </c>
      <c r="F110">
        <v>1323.517</v>
      </c>
    </row>
    <row r="111">
      <c r="B111" t="str">
        <v>651600</v>
      </c>
      <c r="C111" t="str">
        <v>INTER. BANCAIRE ET SUR OPERAT. FIN.</v>
      </c>
      <c r="D111">
        <v>46901.99</v>
      </c>
      <c r="F111">
        <v>46901.99</v>
      </c>
    </row>
    <row r="112">
      <c r="B112" t="str">
        <v>661100</v>
      </c>
      <c r="C112" t="str">
        <v>TFP</v>
      </c>
      <c r="D112">
        <v>3638.556</v>
      </c>
      <c r="F112">
        <v>3638.556</v>
      </c>
    </row>
    <row r="113">
      <c r="B113" t="str">
        <v>661200</v>
      </c>
      <c r="C113" t="str">
        <v>FOPROLOS</v>
      </c>
      <c r="D113">
        <v>3638.556</v>
      </c>
      <c r="F113">
        <v>3638.556</v>
      </c>
    </row>
    <row r="114">
      <c r="B114" t="str">
        <v>66130000</v>
      </c>
      <c r="C114" t="str">
        <v>TCL</v>
      </c>
      <c r="D114">
        <v>249.649</v>
      </c>
      <c r="F114">
        <v>249.649</v>
      </c>
    </row>
    <row r="115">
      <c r="B115" t="str">
        <v>661600</v>
      </c>
      <c r="C115" t="str">
        <v>INTERET DEBITEURS</v>
      </c>
      <c r="D115">
        <v>4156.96</v>
      </c>
      <c r="F115">
        <v>4156.96</v>
      </c>
    </row>
    <row r="116">
      <c r="B116" t="str">
        <v>665100</v>
      </c>
      <c r="C116" t="str">
        <v>TCL</v>
      </c>
      <c r="D116">
        <v>1797.666</v>
      </c>
      <c r="F116">
        <v>1797.666</v>
      </c>
    </row>
    <row r="117">
      <c r="B117" t="str">
        <v>665110</v>
      </c>
      <c r="C117" t="str">
        <v>TCL/CA EXP</v>
      </c>
      <c r="D117">
        <v>56.714</v>
      </c>
      <c r="F117">
        <v>56.714</v>
      </c>
    </row>
    <row r="118">
      <c r="B118" t="str">
        <v>665400</v>
      </c>
      <c r="C118" t="str">
        <v>DROIT D'ENREGISTREMENT &amp; TIMBRES</v>
      </c>
      <c r="D118">
        <v>13</v>
      </c>
      <c r="F118">
        <v>13</v>
      </c>
    </row>
    <row r="119">
      <c r="B119" t="str">
        <v>665500</v>
      </c>
      <c r="C119" t="str">
        <v>TAXES SUR LES VEHICULES</v>
      </c>
      <c r="D119">
        <v>960</v>
      </c>
      <c r="F119">
        <v>960</v>
      </c>
    </row>
    <row r="120">
      <c r="B120" t="str">
        <v>681120</v>
      </c>
      <c r="C120" t="str">
        <v>DOT. AMORT. IMMO. INCORPORELLES</v>
      </c>
      <c r="D120">
        <v>39189.278</v>
      </c>
      <c r="F120">
        <v>39189.278</v>
      </c>
    </row>
    <row r="121">
      <c r="B121" t="str">
        <v>691000</v>
      </c>
      <c r="C121" t="str">
        <v>IMPOTS/BENEFICE RESULTAT ACTI ORDIN</v>
      </c>
      <c r="D121">
        <v>12019.119</v>
      </c>
      <c r="F121">
        <v>12019.119</v>
      </c>
    </row>
    <row r="122">
      <c r="B122" t="str">
        <v>691002</v>
      </c>
      <c r="C122" t="str">
        <v xml:space="preserve">CSS </v>
      </c>
      <c r="D122">
        <v>1802.868</v>
      </c>
      <c r="F122">
        <v>1802.868</v>
      </c>
    </row>
    <row r="123">
      <c r="B123" t="str">
        <v>707000</v>
      </c>
      <c r="C123" t="str">
        <v>VENTES  19%</v>
      </c>
      <c r="D123">
        <v>6980.513</v>
      </c>
      <c r="E123">
        <v>1100513.587</v>
      </c>
      <c r="G123">
        <v>1093533.074</v>
      </c>
    </row>
    <row r="124">
      <c r="B124" t="str">
        <v>707001</v>
      </c>
      <c r="C124" t="str">
        <v xml:space="preserve">VENTES A L'EXPORT </v>
      </c>
      <c r="E124">
        <v>22965.086</v>
      </c>
      <c r="G124">
        <v>22965.086</v>
      </c>
    </row>
    <row r="125">
      <c r="B125" t="str">
        <v>707003</v>
      </c>
      <c r="C125" t="str">
        <v>VENTE SUSPENSION TVA</v>
      </c>
      <c r="E125">
        <v>82785.596</v>
      </c>
      <c r="G125">
        <v>82785.596</v>
      </c>
    </row>
    <row r="126">
      <c r="B126" t="str">
        <v>734500</v>
      </c>
      <c r="C126" t="str">
        <v>ECART REGLEMENT</v>
      </c>
      <c r="E126">
        <v>1.7890000000000001</v>
      </c>
      <c r="G126">
        <v>1.7890000000000001</v>
      </c>
    </row>
    <row r="127">
      <c r="B127" t="str">
        <v>736100</v>
      </c>
      <c r="C127" t="str">
        <v>GAINS/ELEMENTS EXCEPTIONNELS</v>
      </c>
      <c r="E127">
        <v>0.006</v>
      </c>
      <c r="G127">
        <v>0.006</v>
      </c>
      <c r="H127">
        <f>+G127*0.19</f>
        <v>0.00114</v>
      </c>
    </row>
    <row r="128">
      <c r="B128" t="str">
        <v>751000</v>
      </c>
      <c r="C128" t="str">
        <v>PRODUITS DE PARTICIPATIONS</v>
      </c>
      <c r="E128">
        <v>1193.6</v>
      </c>
      <c r="G128">
        <v>1193.6</v>
      </c>
      <c r="H128">
        <v>48497.28</v>
      </c>
      <c r="I128">
        <f>+G128-H128</f>
        <v>-47303.68</v>
      </c>
    </row>
    <row r="129">
      <c r="B129" t="str">
        <v>76500000</v>
      </c>
      <c r="C129" t="str">
        <v>Escomptes obtenus</v>
      </c>
      <c r="E129">
        <v>20.182</v>
      </c>
      <c r="G129">
        <v>20.182</v>
      </c>
      <c r="I129">
        <f>+G127+I128</f>
        <v>-47303.674</v>
      </c>
      <c r="J129" t="str">
        <v>local</v>
      </c>
    </row>
    <row r="130">
      <c r="D130">
        <f>SUM(D2:D129)</f>
        <v>8893036.209000008</v>
      </c>
      <c r="E130">
        <f>SUM(E2:E129)</f>
        <v>8893036.209</v>
      </c>
      <c r="F130">
        <f>SUM(F2:F129)</f>
        <v>3314330.292999999</v>
      </c>
      <c r="G130">
        <f>SUM(G2:G129)</f>
        <v>3314330.2929999996</v>
      </c>
      <c r="I130">
        <f>SUM(I129:I129)</f>
        <v>-47303.674</v>
      </c>
    </row>
    <row r="131">
      <c r="E131">
        <f>+E130-D130</f>
        <v>0</v>
      </c>
      <c r="G131">
        <f>+G130-F130</f>
        <v>0</v>
      </c>
    </row>
    <row r="133">
      <c r="F133" t="str">
        <v>TOTAL PRODUITS</v>
      </c>
      <c r="G133">
        <f>SUM(G70:G129)</f>
        <v>1200499.522</v>
      </c>
    </row>
    <row r="134">
      <c r="F134" t="str">
        <v>TOTAL CHARGES</v>
      </c>
      <c r="G134">
        <f>SUM(F70:F129)</f>
        <v>1113329.5729999996</v>
      </c>
    </row>
    <row r="135">
      <c r="F135" t="str">
        <v>RESULTAT</v>
      </c>
      <c r="G135">
        <f>+G133-G134</f>
        <v>87169.94900000049</v>
      </c>
    </row>
  </sheetData>
  <pageMargins left="0.7" right="0.7" top="0.75" bottom="0.75" header="0.3" footer="0.3"/>
  <ignoredErrors>
    <ignoredError numberStoredAsText="1" sqref="B2:J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1:L22"/>
  <sheetViews>
    <sheetView workbookViewId="0" rightToLeft="0"/>
  </sheetViews>
  <sheetData>
    <row r="1">
      <c r="D1">
        <v>2024</v>
      </c>
      <c r="E1">
        <v>2023</v>
      </c>
      <c r="F1" t="str">
        <v>Variation</v>
      </c>
    </row>
    <row r="2">
      <c r="B2" t="str">
        <v>505007</v>
      </c>
      <c r="C2" t="str">
        <v>ECH-1ANS BEST LEAS CT N°303160</v>
      </c>
      <c r="D2">
        <v>0</v>
      </c>
      <c r="E2">
        <v>-524.198</v>
      </c>
      <c r="F2">
        <f>+D2-E2</f>
        <v>524.198</v>
      </c>
    </row>
    <row r="3">
      <c r="B3" t="str">
        <v>505009</v>
      </c>
      <c r="C3" t="str">
        <v>ECH- AN AT LEAS 467020</v>
      </c>
      <c r="D3">
        <v>-43898.11</v>
      </c>
      <c r="E3">
        <v>-28005.719</v>
      </c>
      <c r="F3">
        <f>+D3-E3</f>
        <v>-15892.391</v>
      </c>
    </row>
    <row r="4">
      <c r="B4" t="str">
        <v>532400</v>
      </c>
      <c r="C4" t="str">
        <v>BIAT TND 571 3</v>
      </c>
      <c r="D4">
        <v>-68619.208</v>
      </c>
      <c r="E4">
        <v>10000</v>
      </c>
      <c r="F4">
        <f>+D4-E4</f>
        <v>-78619.208</v>
      </c>
    </row>
    <row r="5">
      <c r="B5" t="str">
        <v>532500</v>
      </c>
      <c r="C5" t="str">
        <v>BIAT 847 6</v>
      </c>
      <c r="D5">
        <v>10000</v>
      </c>
      <c r="E5">
        <v>10000</v>
      </c>
      <c r="F5">
        <f>+D5-E5</f>
        <v>0</v>
      </c>
    </row>
    <row r="6">
      <c r="B6" t="str">
        <v>532600</v>
      </c>
      <c r="C6" t="str">
        <v>BIAT 859 0</v>
      </c>
      <c r="D6">
        <v>10000</v>
      </c>
      <c r="E6">
        <v>2028.88</v>
      </c>
      <c r="F6">
        <f>+D6-E6</f>
        <v>7971.12</v>
      </c>
    </row>
    <row r="7">
      <c r="B7" t="str">
        <v>541100</v>
      </c>
      <c r="C7" t="str">
        <v>CAISSE EN DINARS</v>
      </c>
      <c r="D7">
        <v>490.686</v>
      </c>
      <c r="F7">
        <f>+D7-E7</f>
        <v>490.686</v>
      </c>
      <c r="I7">
        <f>+D5+D6+D7</f>
        <v>20490.686</v>
      </c>
      <c r="J7">
        <f>+D3+D4</f>
        <v>-112517.318</v>
      </c>
      <c r="K7">
        <f>+J7+I7</f>
        <v>-92026.632</v>
      </c>
      <c r="L7">
        <f>+'annexe Flux'!F10+'annexe Flux'!F2</f>
        <v>-5746.2699999999995</v>
      </c>
    </row>
    <row r="8">
      <c r="B8" t="str">
        <v>580000</v>
      </c>
      <c r="C8" t="str">
        <v>VIREMENTS INTERNES</v>
      </c>
      <c r="D8">
        <v>0</v>
      </c>
      <c r="F8">
        <f>+D8-E8</f>
        <v>0</v>
      </c>
      <c r="L8">
        <f>+K7+L7</f>
        <v>-97772.902</v>
      </c>
    </row>
    <row r="9">
      <c r="C9" t="str">
        <v>Total</v>
      </c>
      <c r="D9">
        <f>SUM(D3:D8)</f>
        <v>-92026.632</v>
      </c>
      <c r="E9">
        <f>SUM(E3:E8)</f>
        <v>-5976.839000000001</v>
      </c>
      <c r="F9">
        <f>SUM(F2:F8)</f>
        <v>-85525.595</v>
      </c>
    </row>
    <row r="10">
      <c r="C10" t="str">
        <v>Remboursements d'emprunts</v>
      </c>
      <c r="D10">
        <v>0</v>
      </c>
      <c r="E10">
        <v>6270.468</v>
      </c>
      <c r="F10">
        <f>+D10-E10</f>
        <v>-6270.468</v>
      </c>
    </row>
    <row r="11">
      <c r="C11" t="str">
        <v>Variation</v>
      </c>
      <c r="D11">
        <f>+D9+F10+F2</f>
        <v>-97772.90199999999</v>
      </c>
    </row>
    <row r="13">
      <c r="B13">
        <v>5050090000</v>
      </c>
      <c r="C13" t="str">
        <v>ECH- AN AT LEAS 467020</v>
      </c>
      <c r="D13">
        <v>-51536.698</v>
      </c>
      <c r="E13">
        <v>-43898.11</v>
      </c>
      <c r="F13">
        <f>D13-E13</f>
        <v>-7638.587999999996</v>
      </c>
    </row>
    <row r="14">
      <c r="B14">
        <v>5324000000</v>
      </c>
      <c r="C14" t="str">
        <v>BIAT TND 571 3</v>
      </c>
      <c r="D14">
        <v>-41781.44</v>
      </c>
      <c r="E14">
        <v>-68619.208</v>
      </c>
      <c r="F14">
        <f>D14-E14</f>
        <v>26837.767999999996</v>
      </c>
    </row>
    <row r="15">
      <c r="B15">
        <v>5325000000</v>
      </c>
      <c r="C15" t="str">
        <v>BIAT 847 6</v>
      </c>
      <c r="D15">
        <v>10000</v>
      </c>
      <c r="E15">
        <v>10000</v>
      </c>
      <c r="F15">
        <f>D15-E15</f>
        <v>0</v>
      </c>
    </row>
    <row r="16">
      <c r="B16">
        <v>5326000000</v>
      </c>
      <c r="C16" t="str">
        <v>BIAT 859 0</v>
      </c>
      <c r="D16">
        <v>10000</v>
      </c>
      <c r="E16">
        <v>10000</v>
      </c>
      <c r="F16">
        <f>D16-E16</f>
        <v>0</v>
      </c>
    </row>
    <row r="17">
      <c r="B17">
        <v>5411000000</v>
      </c>
      <c r="C17" t="str">
        <v>CAISSE EN DINARS</v>
      </c>
      <c r="D17">
        <v>-11153.939</v>
      </c>
      <c r="E17">
        <v>0</v>
      </c>
      <c r="F17">
        <f>D17-E17</f>
        <v>-11153.939</v>
      </c>
    </row>
    <row r="18">
      <c r="C18" t="str">
        <v>Total</v>
      </c>
      <c r="D18">
        <f>SUM(D13:D17)</f>
        <v>-84472.077</v>
      </c>
      <c r="E18">
        <f>SUM(E13:E17)</f>
        <v>-92517.318</v>
      </c>
      <c r="F18">
        <f>SUM(F13:F17)</f>
        <v>8045.241</v>
      </c>
    </row>
    <row r="19">
      <c r="F19">
        <v>-77477.271</v>
      </c>
    </row>
    <row r="20">
      <c r="C20" t="str">
        <v>Variation</v>
      </c>
      <c r="D20">
        <f>+D18+F19</f>
        <v>-161949.348</v>
      </c>
    </row>
  </sheetData>
  <pageMargins left="0.7" right="0.7" top="0.75" bottom="0.75" header="0.3" footer="0.3"/>
  <ignoredErrors>
    <ignoredError numberStoredAsText="1" sqref="B1:L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3:B21"/>
  <sheetViews>
    <sheetView workbookViewId="0" rightToLeft="0"/>
  </sheetViews>
  <sheetData>
    <row r="3">
      <c r="A3" t="str">
        <v xml:space="preserve">Somme de Solde </v>
      </c>
    </row>
    <row r="4">
      <c r="A4" t="str">
        <v xml:space="preserve">Nature </v>
      </c>
      <c r="B4" t="str">
        <v>Total</v>
      </c>
    </row>
    <row r="5">
      <c r="A5" t="str">
        <v>A EXP</v>
      </c>
      <c r="B5">
        <v>50187.09699999998</v>
      </c>
    </row>
    <row r="6">
      <c r="A6" t="str">
        <v>AAC</v>
      </c>
      <c r="B6">
        <v>21348.777000000006</v>
      </c>
    </row>
    <row r="7">
      <c r="A7" t="str">
        <v>AC</v>
      </c>
      <c r="B7">
        <v>53883.439</v>
      </c>
    </row>
    <row r="8">
      <c r="A8" t="str">
        <v xml:space="preserve">AMORT </v>
      </c>
      <c r="B8">
        <v>-98807.74099999998</v>
      </c>
    </row>
    <row r="9">
      <c r="A9" t="str">
        <v>APC</v>
      </c>
      <c r="B9">
        <v>-6144.084000000004</v>
      </c>
    </row>
    <row r="10">
      <c r="A10" t="str">
        <v xml:space="preserve">APC </v>
      </c>
      <c r="B10">
        <v>-55466.002</v>
      </c>
    </row>
    <row r="11">
      <c r="A11" t="str">
        <v xml:space="preserve">Capital </v>
      </c>
      <c r="B11">
        <v>-34210.216</v>
      </c>
    </row>
    <row r="12">
      <c r="A12" t="str">
        <v xml:space="preserve">CCB </v>
      </c>
      <c r="B12">
        <v>-118335.22</v>
      </c>
    </row>
    <row r="13">
      <c r="A13" t="str">
        <v xml:space="preserve">CH FIN </v>
      </c>
      <c r="B13">
        <v>22569.636</v>
      </c>
    </row>
    <row r="14">
      <c r="A14" t="str">
        <v xml:space="preserve">CH PERS </v>
      </c>
      <c r="B14">
        <v>95446.99100000001</v>
      </c>
    </row>
    <row r="15">
      <c r="A15" t="str">
        <v xml:space="preserve">DOT AMORT </v>
      </c>
      <c r="B15">
        <v>71624.495</v>
      </c>
    </row>
    <row r="16">
      <c r="A16" t="str">
        <v>EMP</v>
      </c>
      <c r="B16">
        <v>-112027.413</v>
      </c>
    </row>
    <row r="17">
      <c r="A17" t="str">
        <v xml:space="preserve">IC </v>
      </c>
      <c r="B17">
        <v>391873.40299999993</v>
      </c>
    </row>
    <row r="18">
      <c r="A18" t="str">
        <v xml:space="preserve">LIQ </v>
      </c>
      <c r="B18">
        <v>185.83799999998882</v>
      </c>
    </row>
    <row r="19">
      <c r="A19" t="str">
        <v xml:space="preserve">VTE </v>
      </c>
      <c r="B19">
        <v>-282129</v>
      </c>
    </row>
    <row r="20">
      <c r="A20" t="str">
        <v>(vide)</v>
      </c>
      <c r="B20">
        <v>0</v>
      </c>
    </row>
    <row r="21">
      <c r="A21" t="str">
        <v>Total général</v>
      </c>
      <c r="B21">
        <v>-1.1641532182693481e-10</v>
      </c>
    </row>
  </sheetData>
  <pageMargins left="0.7" right="0.7" top="0.75" bottom="0.75" header="0.3" footer="0.3"/>
  <ignoredErrors>
    <ignoredError numberStoredAsText="1" sqref="A3:B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0"/>
  <sheetViews>
    <sheetView workbookViewId="0" rightToLeft="0"/>
  </sheetViews>
  <sheetData>
    <row r="1">
      <c r="A1" t="str">
        <v xml:space="preserve">N°Compte </v>
      </c>
      <c r="B1" t="str">
        <v xml:space="preserve">Libellé </v>
      </c>
      <c r="C1" t="str">
        <v>Débit</v>
      </c>
      <c r="D1" t="str">
        <v xml:space="preserve">Crédit </v>
      </c>
      <c r="E1" t="str">
        <v xml:space="preserve">Solde </v>
      </c>
      <c r="F1" t="str">
        <v xml:space="preserve">Nature </v>
      </c>
    </row>
    <row r="2">
      <c r="A2">
        <v>101100</v>
      </c>
      <c r="B2" t="str">
        <v>CAPITAL SOCIAL</v>
      </c>
      <c r="D2">
        <v>10000</v>
      </c>
      <c r="E2">
        <v>-10000</v>
      </c>
      <c r="F2" t="str">
        <v xml:space="preserve">Capital </v>
      </c>
    </row>
    <row r="3">
      <c r="A3">
        <v>131000</v>
      </c>
      <c r="B3" t="str">
        <v>RESULTAT BENEFICIAIRE</v>
      </c>
      <c r="D3">
        <v>24210.216</v>
      </c>
      <c r="E3">
        <v>-24210.216</v>
      </c>
      <c r="F3" t="str">
        <v xml:space="preserve">Capital </v>
      </c>
    </row>
    <row r="4">
      <c r="A4">
        <v>162001</v>
      </c>
      <c r="B4" t="str">
        <v xml:space="preserve">CT LEASING 37178 </v>
      </c>
      <c r="C4">
        <v>41051.565</v>
      </c>
      <c r="D4">
        <v>55484.078</v>
      </c>
      <c r="E4">
        <v>-14432.512999999999</v>
      </c>
      <c r="F4" t="str">
        <v>EMP</v>
      </c>
    </row>
    <row r="5">
      <c r="A5">
        <v>162002</v>
      </c>
      <c r="B5" t="str">
        <v>CT LEASING 388660</v>
      </c>
      <c r="C5">
        <v>22241.73</v>
      </c>
      <c r="D5">
        <v>38249.852</v>
      </c>
      <c r="E5">
        <v>-16008.122</v>
      </c>
      <c r="F5" t="str">
        <v>EMP</v>
      </c>
    </row>
    <row r="6">
      <c r="A6">
        <v>162003</v>
      </c>
      <c r="B6" t="str">
        <v>CT LEASING 395300</v>
      </c>
      <c r="C6">
        <v>30370.02</v>
      </c>
      <c r="D6">
        <v>57941.872</v>
      </c>
      <c r="E6">
        <v>-27571.852000000003</v>
      </c>
      <c r="F6" t="str">
        <v>EMP</v>
      </c>
    </row>
    <row r="7">
      <c r="A7">
        <v>162004</v>
      </c>
      <c r="B7" t="str">
        <v>EMPRUNT LEASING 372600</v>
      </c>
      <c r="C7">
        <v>9243.56</v>
      </c>
      <c r="D7">
        <v>18682.788</v>
      </c>
      <c r="E7">
        <v>-9439.228000000001</v>
      </c>
      <c r="F7" t="str">
        <v>EMP</v>
      </c>
    </row>
    <row r="8">
      <c r="A8">
        <v>162005</v>
      </c>
      <c r="B8" t="str">
        <v>CT 431330</v>
      </c>
      <c r="C8">
        <v>14323.29</v>
      </c>
      <c r="D8">
        <v>58898.988</v>
      </c>
      <c r="E8">
        <v>-44575.698</v>
      </c>
      <c r="F8" t="str">
        <v>EMP</v>
      </c>
    </row>
    <row r="9">
      <c r="A9">
        <v>224101</v>
      </c>
      <c r="B9" t="str">
        <v>CITROEN NEMO 1</v>
      </c>
      <c r="C9">
        <v>21178.085</v>
      </c>
      <c r="E9">
        <v>21178.085</v>
      </c>
      <c r="F9" t="str">
        <v xml:space="preserve">IC </v>
      </c>
    </row>
    <row r="10">
      <c r="A10">
        <v>224103</v>
      </c>
      <c r="B10" t="str">
        <v>CITROEN BERLINGO 1</v>
      </c>
      <c r="C10">
        <v>23001.186</v>
      </c>
      <c r="E10">
        <v>23001.186</v>
      </c>
      <c r="F10" t="str">
        <v xml:space="preserve">IC </v>
      </c>
    </row>
    <row r="11">
      <c r="A11">
        <v>224104</v>
      </c>
      <c r="B11" t="str">
        <v>CITROEN BERLINGO 2</v>
      </c>
      <c r="C11">
        <v>23001.186</v>
      </c>
      <c r="E11">
        <v>23001.186</v>
      </c>
      <c r="F11" t="str">
        <v xml:space="preserve">IC </v>
      </c>
    </row>
    <row r="12">
      <c r="A12">
        <v>224105</v>
      </c>
      <c r="B12" t="str">
        <v>CITROEN BERLINGO 3</v>
      </c>
      <c r="C12">
        <v>23001.186</v>
      </c>
      <c r="E12">
        <v>23001.186</v>
      </c>
      <c r="F12" t="str">
        <v xml:space="preserve">IC </v>
      </c>
    </row>
    <row r="13">
      <c r="A13">
        <v>224106</v>
      </c>
      <c r="B13" t="str">
        <v>CITROEN BERLINGO 4</v>
      </c>
      <c r="C13">
        <v>23001.186</v>
      </c>
      <c r="E13">
        <v>23001.186</v>
      </c>
      <c r="F13" t="str">
        <v xml:space="preserve">IC </v>
      </c>
    </row>
    <row r="14">
      <c r="A14">
        <v>224107</v>
      </c>
      <c r="B14" t="str">
        <v>CITROEN MEMO 3</v>
      </c>
      <c r="C14">
        <v>21796.729</v>
      </c>
      <c r="E14">
        <v>21796.729</v>
      </c>
      <c r="F14" t="str">
        <v xml:space="preserve">IC </v>
      </c>
    </row>
    <row r="15">
      <c r="A15">
        <v>224108</v>
      </c>
      <c r="B15" t="str">
        <v>CITROEN 5</v>
      </c>
      <c r="C15">
        <v>21796.729</v>
      </c>
      <c r="E15">
        <v>21796.729</v>
      </c>
      <c r="F15" t="str">
        <v xml:space="preserve">IC </v>
      </c>
    </row>
    <row r="16">
      <c r="A16">
        <v>224109</v>
      </c>
      <c r="B16" t="str">
        <v>CITROEN 6</v>
      </c>
      <c r="C16">
        <v>21796.729</v>
      </c>
      <c r="E16">
        <v>21796.729</v>
      </c>
      <c r="F16" t="str">
        <v xml:space="preserve">IC </v>
      </c>
    </row>
    <row r="17">
      <c r="A17">
        <v>224110</v>
      </c>
      <c r="B17" t="str">
        <v>PEUGEOT BIPP 1</v>
      </c>
      <c r="C17">
        <v>22490.576</v>
      </c>
      <c r="E17">
        <v>22490.576</v>
      </c>
      <c r="F17" t="str">
        <v xml:space="preserve">IC </v>
      </c>
    </row>
    <row r="18">
      <c r="A18">
        <v>224111</v>
      </c>
      <c r="B18" t="str">
        <v>PEUGEOT BIPPER 2</v>
      </c>
      <c r="C18">
        <v>22490.576</v>
      </c>
      <c r="E18">
        <v>22490.576</v>
      </c>
      <c r="F18" t="str">
        <v xml:space="preserve">IC </v>
      </c>
    </row>
    <row r="19">
      <c r="A19">
        <v>224112</v>
      </c>
      <c r="B19" t="str">
        <v>PEUGEOT BIPPER 3</v>
      </c>
      <c r="C19">
        <v>22490.576</v>
      </c>
      <c r="E19">
        <v>22490.576</v>
      </c>
      <c r="F19" t="str">
        <v xml:space="preserve">IC </v>
      </c>
    </row>
    <row r="20">
      <c r="A20">
        <v>224113</v>
      </c>
      <c r="B20" t="str">
        <v>PEUGEOT BIPPER 4</v>
      </c>
      <c r="C20">
        <v>22490.576</v>
      </c>
      <c r="E20">
        <v>22490.576</v>
      </c>
      <c r="F20" t="str">
        <v xml:space="preserve">IC </v>
      </c>
    </row>
    <row r="21">
      <c r="A21">
        <v>224119</v>
      </c>
      <c r="B21" t="str">
        <v>MEMO 2 CT 371780</v>
      </c>
      <c r="C21">
        <v>21178.085</v>
      </c>
      <c r="E21">
        <v>21178.085</v>
      </c>
      <c r="F21" t="str">
        <v xml:space="preserve">IC </v>
      </c>
    </row>
    <row r="22">
      <c r="A22">
        <v>224201</v>
      </c>
      <c r="B22" t="str">
        <v>ALPHA ROMEO</v>
      </c>
      <c r="C22">
        <v>33309.088</v>
      </c>
      <c r="E22">
        <v>33309.088</v>
      </c>
      <c r="F22" t="str">
        <v xml:space="preserve">IC </v>
      </c>
    </row>
    <row r="23">
      <c r="A23">
        <v>224202</v>
      </c>
      <c r="B23" t="str">
        <v>MERCEDES</v>
      </c>
      <c r="C23">
        <v>65000</v>
      </c>
      <c r="E23">
        <v>65000</v>
      </c>
      <c r="F23" t="str">
        <v xml:space="preserve">IC </v>
      </c>
    </row>
    <row r="24">
      <c r="A24">
        <v>228300</v>
      </c>
      <c r="B24" t="str">
        <v>MATERIEL INFORMATIQUE</v>
      </c>
      <c r="C24">
        <v>3850.91</v>
      </c>
      <c r="E24">
        <v>3850.91</v>
      </c>
      <c r="F24" t="str">
        <v xml:space="preserve">IC </v>
      </c>
    </row>
    <row r="25">
      <c r="A25">
        <v>282001</v>
      </c>
      <c r="B25" t="str">
        <v>AMORT CIT MEMO 1</v>
      </c>
      <c r="D25">
        <v>6904.636</v>
      </c>
      <c r="E25">
        <v>-6904.636</v>
      </c>
      <c r="F25" t="str">
        <v xml:space="preserve">AMORT </v>
      </c>
    </row>
    <row r="26">
      <c r="A26">
        <v>282002</v>
      </c>
      <c r="B26" t="str">
        <v>AMORT CIT MEMO 2</v>
      </c>
      <c r="D26">
        <v>6904.636</v>
      </c>
      <c r="E26">
        <v>-6904.636</v>
      </c>
      <c r="F26" t="str">
        <v xml:space="preserve">AMORT </v>
      </c>
    </row>
    <row r="27">
      <c r="A27">
        <v>282003</v>
      </c>
      <c r="B27" t="str">
        <v>AMORT CIT BERLINGO 1</v>
      </c>
      <c r="D27">
        <v>7499.017</v>
      </c>
      <c r="E27">
        <v>-7499.017</v>
      </c>
      <c r="F27" t="str">
        <v xml:space="preserve">AMORT </v>
      </c>
    </row>
    <row r="28">
      <c r="A28">
        <v>282004</v>
      </c>
      <c r="B28" t="str">
        <v>AMORT CIT BERLINGO 2</v>
      </c>
      <c r="D28">
        <v>7499.017</v>
      </c>
      <c r="E28">
        <v>-7499.017</v>
      </c>
      <c r="F28" t="str">
        <v xml:space="preserve">AMORT </v>
      </c>
    </row>
    <row r="29">
      <c r="A29">
        <v>282005</v>
      </c>
      <c r="B29" t="str">
        <v>AMORT CIT BERLINGO 3</v>
      </c>
      <c r="D29">
        <v>7499.017</v>
      </c>
      <c r="E29">
        <v>-7499.017</v>
      </c>
      <c r="F29" t="str">
        <v xml:space="preserve">AMORT </v>
      </c>
    </row>
    <row r="30">
      <c r="A30">
        <v>282006</v>
      </c>
      <c r="B30" t="str">
        <v>AMORT CIT BERILNGO 4</v>
      </c>
      <c r="D30">
        <v>7499.017</v>
      </c>
      <c r="E30">
        <v>-7499.017</v>
      </c>
      <c r="F30" t="str">
        <v xml:space="preserve">AMORT </v>
      </c>
    </row>
    <row r="31">
      <c r="A31">
        <v>282007</v>
      </c>
      <c r="B31" t="str">
        <v>AMORT CIT MEMO 3</v>
      </c>
      <c r="D31">
        <v>5589.518</v>
      </c>
      <c r="E31">
        <v>-5589.518</v>
      </c>
      <c r="F31" t="str">
        <v xml:space="preserve">AMORT </v>
      </c>
    </row>
    <row r="32">
      <c r="A32">
        <v>282008</v>
      </c>
      <c r="B32" t="str">
        <v>AMORT CITROEN 5</v>
      </c>
      <c r="D32">
        <v>5589.518</v>
      </c>
      <c r="E32">
        <v>-5589.518</v>
      </c>
      <c r="F32" t="str">
        <v xml:space="preserve">AMORT </v>
      </c>
    </row>
    <row r="33">
      <c r="A33">
        <v>282009</v>
      </c>
      <c r="B33" t="str">
        <v>AMORT CITROEN 6</v>
      </c>
      <c r="D33">
        <v>5589.518</v>
      </c>
      <c r="E33">
        <v>-5589.518</v>
      </c>
      <c r="F33" t="str">
        <v xml:space="preserve">AMORT </v>
      </c>
    </row>
    <row r="34">
      <c r="A34">
        <v>282010</v>
      </c>
      <c r="B34" t="str">
        <v>AMORT BIPPER 1</v>
      </c>
      <c r="D34">
        <v>5077.324</v>
      </c>
      <c r="E34">
        <v>-5077.324</v>
      </c>
      <c r="F34" t="str">
        <v xml:space="preserve">AMORT </v>
      </c>
    </row>
    <row r="35">
      <c r="A35">
        <v>282011</v>
      </c>
      <c r="B35" t="str">
        <v>AMORT BIPPER 2</v>
      </c>
      <c r="D35">
        <v>5077.324</v>
      </c>
      <c r="E35">
        <v>-5077.324</v>
      </c>
      <c r="F35" t="str">
        <v xml:space="preserve">AMORT </v>
      </c>
    </row>
    <row r="36">
      <c r="A36">
        <v>282012</v>
      </c>
      <c r="B36" t="str">
        <v xml:space="preserve">AMORT BIPPER 3  </v>
      </c>
      <c r="D36">
        <v>5077.325</v>
      </c>
      <c r="E36">
        <v>-5077.325</v>
      </c>
      <c r="F36" t="str">
        <v xml:space="preserve">AMORT </v>
      </c>
    </row>
    <row r="37">
      <c r="A37">
        <v>282013</v>
      </c>
      <c r="B37" t="str">
        <v>AMORT BIPPER 4</v>
      </c>
      <c r="D37">
        <v>5077.325</v>
      </c>
      <c r="E37">
        <v>-5077.325</v>
      </c>
      <c r="F37" t="str">
        <v xml:space="preserve">AMORT </v>
      </c>
    </row>
    <row r="38">
      <c r="A38">
        <v>282014</v>
      </c>
      <c r="B38" t="str">
        <v xml:space="preserve">AMORT ALPHA ROMEO </v>
      </c>
      <c r="D38">
        <v>10531.148</v>
      </c>
      <c r="E38">
        <v>-10531.148</v>
      </c>
      <c r="F38" t="str">
        <v xml:space="preserve">AMORT </v>
      </c>
    </row>
    <row r="39">
      <c r="A39">
        <v>282015</v>
      </c>
      <c r="B39" t="str">
        <v xml:space="preserve">AMORT MERCEDES </v>
      </c>
      <c r="D39">
        <v>5413.699</v>
      </c>
      <c r="E39">
        <v>-5413.699</v>
      </c>
      <c r="F39" t="str">
        <v xml:space="preserve">AMORT </v>
      </c>
    </row>
    <row r="40">
      <c r="A40">
        <v>282016</v>
      </c>
      <c r="B40" t="str">
        <v xml:space="preserve">AMORT GPRS </v>
      </c>
      <c r="D40">
        <v>1979.702</v>
      </c>
      <c r="E40">
        <v>-1979.702</v>
      </c>
      <c r="F40" t="str">
        <v xml:space="preserve">AMORT </v>
      </c>
    </row>
    <row r="41">
      <c r="A41">
        <v>401000</v>
      </c>
      <c r="B41" t="str">
        <v>FOURN. ACHAT DE BIENS OU PREST SERV</v>
      </c>
      <c r="C41">
        <v>173473.954</v>
      </c>
      <c r="D41">
        <v>159608.797</v>
      </c>
      <c r="E41">
        <v>13865.157000000007</v>
      </c>
      <c r="F41" t="str">
        <v>AAC</v>
      </c>
      <c r="G41">
        <v>14667.974</v>
      </c>
    </row>
    <row r="42">
      <c r="A42">
        <v>411000</v>
      </c>
      <c r="B42" t="str">
        <v>CLIENTS ORDINAIRES</v>
      </c>
      <c r="C42">
        <v>454405.82</v>
      </c>
      <c r="D42">
        <v>454405.82</v>
      </c>
      <c r="E42">
        <v>0</v>
      </c>
    </row>
    <row r="43">
      <c r="A43">
        <v>425000</v>
      </c>
      <c r="B43" t="str">
        <v>PERSONNEL - REMUNERATIONS DUES</v>
      </c>
      <c r="C43">
        <v>71245.752</v>
      </c>
      <c r="D43">
        <v>71245.752</v>
      </c>
      <c r="E43">
        <v>0</v>
      </c>
    </row>
    <row r="44">
      <c r="A44">
        <v>432100</v>
      </c>
      <c r="B44" t="str">
        <v>RETENUE A LA SOURCE SUR SALAIRES</v>
      </c>
      <c r="C44">
        <v>5677.067</v>
      </c>
      <c r="D44">
        <v>6193.196</v>
      </c>
      <c r="E44">
        <v>-516.1289999999999</v>
      </c>
      <c r="F44" t="str">
        <v>APC</v>
      </c>
    </row>
    <row r="45">
      <c r="A45">
        <v>432200</v>
      </c>
      <c r="B45" t="str">
        <v>RETENUE A LA SOURCE SUR HONORAIRES</v>
      </c>
      <c r="C45">
        <v>327.71</v>
      </c>
      <c r="D45">
        <v>327.71</v>
      </c>
      <c r="E45">
        <v>0</v>
      </c>
    </row>
    <row r="46">
      <c r="A46">
        <v>432300</v>
      </c>
      <c r="B46" t="str">
        <v>RETENUE A LA SOURCE SUR LOYERS</v>
      </c>
      <c r="C46">
        <v>2435.296</v>
      </c>
      <c r="D46">
        <v>2841.187</v>
      </c>
      <c r="E46">
        <v>-405.8910000000001</v>
      </c>
      <c r="F46" t="str">
        <v>APC</v>
      </c>
    </row>
    <row r="47">
      <c r="A47">
        <v>432400</v>
      </c>
      <c r="B47" t="str">
        <v>RS MARCHE 1.5</v>
      </c>
      <c r="C47">
        <v>119.646</v>
      </c>
      <c r="D47">
        <v>162.51</v>
      </c>
      <c r="E47">
        <v>-42.86399999999999</v>
      </c>
      <c r="F47" t="str">
        <v>APC</v>
      </c>
    </row>
    <row r="48">
      <c r="A48">
        <v>436510</v>
      </c>
      <c r="B48" t="str">
        <v>TVA A PAYER</v>
      </c>
      <c r="C48">
        <v>1496.164</v>
      </c>
      <c r="D48">
        <v>1496.164</v>
      </c>
      <c r="E48">
        <v>0</v>
      </c>
    </row>
    <row r="49">
      <c r="A49">
        <v>436660</v>
      </c>
      <c r="B49" t="str">
        <v>TVA DEDUCTIBLE</v>
      </c>
      <c r="C49">
        <v>35703.445</v>
      </c>
      <c r="D49">
        <v>32613.612</v>
      </c>
      <c r="E49">
        <v>3089.8329999999987</v>
      </c>
      <c r="F49" t="str">
        <v>AAC</v>
      </c>
    </row>
    <row r="50">
      <c r="A50">
        <v>436670</v>
      </c>
      <c r="B50" t="str">
        <v>CREDIT DE TVA A REPORTER</v>
      </c>
      <c r="C50">
        <v>11663.324</v>
      </c>
      <c r="D50">
        <v>7732.4</v>
      </c>
      <c r="E50">
        <v>3930.924000000001</v>
      </c>
      <c r="F50" t="str">
        <v>AAC</v>
      </c>
    </row>
    <row r="51">
      <c r="A51">
        <v>436718</v>
      </c>
      <c r="B51" t="str">
        <v>TVA 12%</v>
      </c>
      <c r="C51">
        <v>28676.28</v>
      </c>
      <c r="D51">
        <v>33855.48</v>
      </c>
      <c r="E51">
        <v>-5179.200000000004</v>
      </c>
      <c r="F51" t="str">
        <v>APC</v>
      </c>
    </row>
    <row r="52">
      <c r="A52">
        <v>437200</v>
      </c>
      <c r="B52" t="str">
        <v>FOPROLOS</v>
      </c>
      <c r="C52">
        <v>801.624</v>
      </c>
      <c r="D52">
        <v>801.624</v>
      </c>
      <c r="E52">
        <v>0</v>
      </c>
    </row>
    <row r="53">
      <c r="A53">
        <v>437300</v>
      </c>
      <c r="B53" t="str">
        <v>TFP</v>
      </c>
      <c r="C53">
        <v>1603.254</v>
      </c>
      <c r="D53">
        <v>1603.254</v>
      </c>
      <c r="E53">
        <v>0</v>
      </c>
    </row>
    <row r="54">
      <c r="A54">
        <v>437400</v>
      </c>
      <c r="B54" t="str">
        <v>TCL</v>
      </c>
      <c r="C54">
        <v>701.235</v>
      </c>
      <c r="D54">
        <v>663.372</v>
      </c>
      <c r="E54">
        <v>37.863000000000056</v>
      </c>
      <c r="F54" t="str">
        <v>AAC</v>
      </c>
    </row>
    <row r="55">
      <c r="A55">
        <v>437501</v>
      </c>
      <c r="B55" t="str">
        <v>TIMBRE FISCAL DE 400 MILLIME</v>
      </c>
      <c r="C55">
        <v>165.5</v>
      </c>
      <c r="D55">
        <v>191.8</v>
      </c>
      <c r="E55">
        <v>-26.30000000000001</v>
      </c>
      <c r="F55" t="str">
        <v xml:space="preserve">APC </v>
      </c>
    </row>
    <row r="56">
      <c r="A56">
        <v>448100</v>
      </c>
      <c r="B56" t="str">
        <v>ASSOCIES - OPERATIONS COURANTES</v>
      </c>
      <c r="D56">
        <v>50317.214</v>
      </c>
      <c r="E56">
        <v>-50317.214</v>
      </c>
      <c r="F56" t="str">
        <v xml:space="preserve">APC </v>
      </c>
    </row>
    <row r="57">
      <c r="A57">
        <v>453110</v>
      </c>
      <c r="B57" t="str">
        <v>CNSS</v>
      </c>
      <c r="C57">
        <v>18624.398</v>
      </c>
      <c r="D57">
        <v>23746.886</v>
      </c>
      <c r="E57">
        <v>-5122.487999999998</v>
      </c>
      <c r="F57" t="str">
        <v xml:space="preserve">APC </v>
      </c>
    </row>
    <row r="58">
      <c r="A58">
        <v>471000</v>
      </c>
      <c r="B58" t="str">
        <v>CHARGES CONSTATEES D'AVANCE</v>
      </c>
      <c r="C58">
        <v>425</v>
      </c>
      <c r="E58">
        <v>425</v>
      </c>
      <c r="F58" t="str">
        <v>AAC</v>
      </c>
    </row>
    <row r="59">
      <c r="A59">
        <v>505001</v>
      </c>
      <c r="B59" t="str">
        <v>ECHEAN - 1 CT371780</v>
      </c>
      <c r="C59">
        <v>37416.358</v>
      </c>
      <c r="D59">
        <v>78467.923</v>
      </c>
      <c r="E59">
        <v>-41051.564999999995</v>
      </c>
      <c r="F59" t="str">
        <v xml:space="preserve">CCB </v>
      </c>
    </row>
    <row r="60">
      <c r="A60">
        <v>505002</v>
      </c>
      <c r="B60" t="str">
        <v>ECHEANCE -AN CT 372600</v>
      </c>
      <c r="C60">
        <v>10595.88</v>
      </c>
      <c r="D60">
        <v>19839.44</v>
      </c>
      <c r="E60">
        <v>-9243.56</v>
      </c>
      <c r="F60" t="str">
        <v xml:space="preserve">CCB </v>
      </c>
    </row>
    <row r="61">
      <c r="A61">
        <v>505003</v>
      </c>
      <c r="B61" t="str">
        <v>ECHEANCE - AN CT 388660</v>
      </c>
      <c r="C61">
        <v>20283.77</v>
      </c>
      <c r="D61">
        <v>42525.5</v>
      </c>
      <c r="E61">
        <v>-22241.73</v>
      </c>
      <c r="F61" t="str">
        <v xml:space="preserve">CCB </v>
      </c>
    </row>
    <row r="62">
      <c r="A62">
        <v>505004</v>
      </c>
      <c r="B62" t="str">
        <v>ECH -AN CT 395300</v>
      </c>
      <c r="C62">
        <v>27657.32</v>
      </c>
      <c r="D62">
        <v>58027.34</v>
      </c>
      <c r="E62">
        <v>-30370.019999999997</v>
      </c>
      <c r="F62" t="str">
        <v xml:space="preserve">CCB </v>
      </c>
    </row>
    <row r="63">
      <c r="A63">
        <v>505005</v>
      </c>
      <c r="B63" t="str">
        <v>ECHEANCE - AN CT 431330</v>
      </c>
      <c r="C63">
        <v>6101.058</v>
      </c>
      <c r="D63">
        <v>20424.348</v>
      </c>
      <c r="E63">
        <v>-14323.29</v>
      </c>
      <c r="F63" t="str">
        <v xml:space="preserve">CCB </v>
      </c>
    </row>
    <row r="64">
      <c r="A64">
        <v>532100</v>
      </c>
      <c r="B64" t="str">
        <v>BANQUES COMPTES EN DINARS</v>
      </c>
      <c r="C64">
        <v>315408</v>
      </c>
      <c r="D64">
        <v>316513.055</v>
      </c>
      <c r="E64">
        <v>-1105.054999999993</v>
      </c>
      <c r="F64" t="str">
        <v xml:space="preserve">CCB </v>
      </c>
    </row>
    <row r="65">
      <c r="A65">
        <v>541100</v>
      </c>
      <c r="B65" t="str">
        <v>CAISSE EN DINARS</v>
      </c>
      <c r="C65">
        <v>378638.407</v>
      </c>
      <c r="D65">
        <v>378452.569</v>
      </c>
      <c r="E65">
        <v>185.83799999998882</v>
      </c>
      <c r="F65" t="str">
        <v xml:space="preserve">LIQ </v>
      </c>
    </row>
    <row r="66">
      <c r="A66">
        <v>606001</v>
      </c>
      <c r="B66" t="str">
        <v>ACHAT N.STOCKES MAT. &amp; FOURN GASOIL</v>
      </c>
      <c r="C66">
        <v>53883.439</v>
      </c>
      <c r="E66">
        <v>53883.439</v>
      </c>
      <c r="F66" t="str">
        <v>AC</v>
      </c>
    </row>
    <row r="67">
      <c r="A67">
        <v>614000</v>
      </c>
      <c r="B67" t="str">
        <v>CHARGE LOCATIVE ET DE COPROPRIETE</v>
      </c>
      <c r="C67">
        <v>16235.382</v>
      </c>
      <c r="E67">
        <v>16235.382</v>
      </c>
      <c r="F67" t="str">
        <v>A EXP</v>
      </c>
    </row>
    <row r="68">
      <c r="A68">
        <v>615000</v>
      </c>
      <c r="B68" t="str">
        <v>ENTRETIENS ET REPARATIONS</v>
      </c>
      <c r="C68">
        <v>34460.589</v>
      </c>
      <c r="D68">
        <v>16262.807</v>
      </c>
      <c r="E68">
        <v>18197.782</v>
      </c>
      <c r="F68" t="str">
        <v>A EXP</v>
      </c>
    </row>
    <row r="69">
      <c r="A69">
        <v>622000</v>
      </c>
      <c r="B69" t="str">
        <v>REMUNERATION D'INTERM ET HONORAIRES</v>
      </c>
      <c r="C69">
        <v>1050.5</v>
      </c>
      <c r="E69">
        <v>1050.5</v>
      </c>
      <c r="F69" t="str">
        <v>A EXP</v>
      </c>
    </row>
    <row r="70">
      <c r="A70">
        <v>622100</v>
      </c>
      <c r="B70" t="str">
        <v>FRAIS DE TENUE DE COMPTABILITE</v>
      </c>
      <c r="C70">
        <v>3601.7</v>
      </c>
      <c r="E70">
        <v>3601.7</v>
      </c>
      <c r="F70" t="str">
        <v>A EXP</v>
      </c>
    </row>
    <row r="71">
      <c r="A71">
        <v>625100</v>
      </c>
      <c r="B71" t="str">
        <v>VOYAGES ET DEPLACEMENTS</v>
      </c>
      <c r="C71">
        <v>3829.28</v>
      </c>
      <c r="E71">
        <v>3829.28</v>
      </c>
      <c r="F71" t="str">
        <v>A EXP</v>
      </c>
    </row>
    <row r="72">
      <c r="A72">
        <v>626000</v>
      </c>
      <c r="B72" t="str">
        <v>FRAIS POSTAUX ET FRAIS TELECOMMUNIC</v>
      </c>
      <c r="C72">
        <v>975.147</v>
      </c>
      <c r="E72">
        <v>975.147</v>
      </c>
      <c r="F72" t="str">
        <v>A EXP</v>
      </c>
    </row>
    <row r="73">
      <c r="A73">
        <v>627800</v>
      </c>
      <c r="B73" t="str">
        <v>AUTRES FRAIS &amp; COMMIS.  PREST. SERV</v>
      </c>
      <c r="C73">
        <v>632.381</v>
      </c>
      <c r="E73">
        <v>632.381</v>
      </c>
      <c r="F73" t="str">
        <v>A EXP</v>
      </c>
    </row>
    <row r="74">
      <c r="A74">
        <v>632000</v>
      </c>
      <c r="B74" t="str">
        <v>PENALITE DE RETARD</v>
      </c>
      <c r="C74">
        <v>82</v>
      </c>
      <c r="E74">
        <v>82</v>
      </c>
      <c r="F74" t="str">
        <v>A EXP</v>
      </c>
    </row>
    <row r="75">
      <c r="A75">
        <v>635200</v>
      </c>
      <c r="B75" t="str">
        <v>DIFFERENCE DE REGLEMENT</v>
      </c>
      <c r="C75">
        <v>3</v>
      </c>
      <c r="E75">
        <v>3</v>
      </c>
      <c r="F75" t="str">
        <v>A EXP</v>
      </c>
    </row>
    <row r="76">
      <c r="A76">
        <v>640000</v>
      </c>
      <c r="B76" t="str">
        <v>SALAIRES</v>
      </c>
      <c r="C76">
        <v>81566.812</v>
      </c>
      <c r="E76">
        <v>81566.812</v>
      </c>
      <c r="F76" t="str">
        <v xml:space="preserve">CH PERS </v>
      </c>
    </row>
    <row r="77">
      <c r="A77">
        <v>647000</v>
      </c>
      <c r="B77" t="str">
        <v>COTIS SECURITE SOCIALE SUR SALAIRES</v>
      </c>
      <c r="C77">
        <v>10574.661</v>
      </c>
      <c r="E77">
        <v>10574.661</v>
      </c>
      <c r="F77" t="str">
        <v xml:space="preserve">CH PERS </v>
      </c>
    </row>
    <row r="78">
      <c r="A78">
        <v>647001</v>
      </c>
      <c r="B78" t="str">
        <v>ACCIDENT DE TRAVAIL</v>
      </c>
      <c r="C78">
        <v>2487.187</v>
      </c>
      <c r="E78">
        <v>2487.187</v>
      </c>
      <c r="F78" t="str">
        <v xml:space="preserve">CH PERS </v>
      </c>
    </row>
    <row r="79">
      <c r="A79">
        <v>647500</v>
      </c>
      <c r="B79" t="str">
        <v>COTIS. SECUR. SOC. SUR REMU ADM,GER</v>
      </c>
      <c r="C79">
        <v>818.331</v>
      </c>
      <c r="E79">
        <v>818.331</v>
      </c>
      <c r="F79" t="str">
        <v xml:space="preserve">CH PERS </v>
      </c>
    </row>
    <row r="80">
      <c r="A80">
        <v>651160</v>
      </c>
      <c r="B80" t="str">
        <v>INTER.  D'EMPRUNT ET DETTE ASSIMIL.</v>
      </c>
      <c r="C80">
        <v>22569.046</v>
      </c>
      <c r="E80">
        <v>22569.046</v>
      </c>
      <c r="F80" t="str">
        <v xml:space="preserve">CH FIN </v>
      </c>
    </row>
    <row r="81">
      <c r="A81">
        <v>657000</v>
      </c>
      <c r="B81" t="str">
        <v>AUTRES CHARGES FINANCIERES</v>
      </c>
      <c r="C81">
        <v>0.59</v>
      </c>
      <c r="E81">
        <v>0.59</v>
      </c>
      <c r="F81" t="str">
        <v xml:space="preserve">CH FIN </v>
      </c>
    </row>
    <row r="82">
      <c r="A82">
        <v>661100</v>
      </c>
      <c r="B82" t="str">
        <v>TFP</v>
      </c>
      <c r="C82">
        <v>1480.956</v>
      </c>
      <c r="E82">
        <v>1480.956</v>
      </c>
      <c r="F82" t="str">
        <v>A EXP</v>
      </c>
    </row>
    <row r="83">
      <c r="A83">
        <v>661200</v>
      </c>
      <c r="B83" t="str">
        <v>FOPROLOS</v>
      </c>
      <c r="C83">
        <v>740.475</v>
      </c>
      <c r="E83">
        <v>740.475</v>
      </c>
      <c r="F83" t="str">
        <v>A EXP</v>
      </c>
    </row>
    <row r="84">
      <c r="A84">
        <v>661300</v>
      </c>
      <c r="B84" t="str">
        <v>TCL</v>
      </c>
      <c r="C84">
        <v>506.916</v>
      </c>
      <c r="E84">
        <v>506.916</v>
      </c>
      <c r="F84" t="str">
        <v>A EXP</v>
      </c>
    </row>
    <row r="85">
      <c r="A85">
        <v>661800</v>
      </c>
      <c r="B85" t="str">
        <v>AUTRES</v>
      </c>
      <c r="C85">
        <v>415.882</v>
      </c>
      <c r="E85">
        <v>415.882</v>
      </c>
      <c r="F85" t="str">
        <v>A EXP</v>
      </c>
    </row>
    <row r="86">
      <c r="A86">
        <v>665400</v>
      </c>
      <c r="B86" t="str">
        <v>DROIT D'ENREGISTREMENT &amp; TIMBRES</v>
      </c>
      <c r="C86">
        <v>111.856</v>
      </c>
      <c r="E86">
        <v>111.856</v>
      </c>
      <c r="F86" t="str">
        <v>A EXP</v>
      </c>
    </row>
    <row r="87">
      <c r="A87">
        <v>665500</v>
      </c>
      <c r="B87" t="str">
        <v>TAXES SUR LES VEHICULES</v>
      </c>
      <c r="C87">
        <v>2254</v>
      </c>
      <c r="E87">
        <v>2254</v>
      </c>
      <c r="F87" t="str">
        <v>A EXP</v>
      </c>
    </row>
    <row r="88">
      <c r="A88">
        <v>681120</v>
      </c>
      <c r="B88" t="str">
        <v>DOT. AMORT. IMMO. CORPORELLES</v>
      </c>
      <c r="C88">
        <v>71624.495</v>
      </c>
      <c r="E88">
        <v>71624.495</v>
      </c>
      <c r="F88" t="str">
        <v xml:space="preserve">DOT AMORT </v>
      </c>
    </row>
    <row r="89">
      <c r="A89">
        <v>705000</v>
      </c>
      <c r="B89" t="str">
        <v>TRANSPORT DE MARCHANDISES</v>
      </c>
      <c r="D89">
        <v>282129</v>
      </c>
      <c r="E89">
        <v>-282129</v>
      </c>
      <c r="F89" t="str">
        <v xml:space="preserve">VTE </v>
      </c>
    </row>
    <row r="90">
      <c r="A90">
        <v>734500</v>
      </c>
      <c r="B90" t="str">
        <v>ECART REGLEMENT</v>
      </c>
      <c r="C90">
        <v>71.127</v>
      </c>
      <c r="D90">
        <v>1.287</v>
      </c>
      <c r="E90">
        <v>69.83999999999999</v>
      </c>
      <c r="F90" t="str">
        <v>A EXP</v>
      </c>
    </row>
  </sheetData>
  <autoFilter ref="A1:F90"/>
  <pageMargins left="0.7086614173228347" right="0.7086614173228347" top="0.7480314960629921" bottom="0.7480314960629921" header="0.31496062992125984" footer="0.31496062992125984"/>
  <ignoredErrors>
    <ignoredError numberStoredAsText="1" sqref="A1:G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ACTIF</vt:lpstr>
      <vt:lpstr>PASSIF</vt:lpstr>
      <vt:lpstr>RESULTAT</vt:lpstr>
      <vt:lpstr>FLUX MA</vt:lpstr>
      <vt:lpstr>SIG</vt:lpstr>
      <vt:lpstr>TAB AMT</vt:lpstr>
      <vt:lpstr>RESULTAT FISCAL</vt:lpstr>
      <vt:lpstr>BALANCE</vt:lpstr>
      <vt:lpstr>annexe Flux</vt:lpstr>
      <vt:lpstr>Feuil3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1999-03-19T14:30:43Z</dcterms:created>
  <dcterms:modified xsi:type="dcterms:W3CDTF">2026-09-01T09:07:25Z</dcterms:modified>
  <cp:lastModifiedBy>Salim Ezzine</cp:lastModifiedBy>
  <cp:lastPrinted>2026-07-16T09:04:57Z</cp:lastPrinted>
  <dc:creator>Mohamed MEHDI</dc:creator>
</cp:coreProperties>
</file>